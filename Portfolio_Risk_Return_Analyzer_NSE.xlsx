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ksh\Downloads\"/>
    </mc:Choice>
  </mc:AlternateContent>
  <xr:revisionPtr revIDLastSave="0" documentId="13_ncr:1_{A58510D3-FA20-4BA1-97EF-1094C49CF906}" xr6:coauthVersionLast="36" xr6:coauthVersionMax="36" xr10:uidLastSave="{00000000-0000-0000-0000-000000000000}"/>
  <bookViews>
    <workbookView xWindow="0" yWindow="0" windowWidth="23040" windowHeight="9648" tabRatio="500" activeTab="3" xr2:uid="{00000000-000D-0000-FFFF-FFFF00000000}"/>
  </bookViews>
  <sheets>
    <sheet name="Data" sheetId="1" r:id="rId1"/>
    <sheet name="Returns" sheetId="2" r:id="rId2"/>
    <sheet name="Metrics" sheetId="3" r:id="rId3"/>
    <sheet name="Portfolio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B14" i="4"/>
  <c r="B8" i="4"/>
  <c r="B17" i="4" s="1"/>
  <c r="B13" i="3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90" i="2"/>
  <c r="D90" i="2"/>
  <c r="C90" i="2"/>
  <c r="B90" i="2"/>
  <c r="A90" i="2"/>
  <c r="E89" i="2"/>
  <c r="D89" i="2"/>
  <c r="C89" i="2"/>
  <c r="B89" i="2"/>
  <c r="A89" i="2"/>
  <c r="E88" i="2"/>
  <c r="D88" i="2"/>
  <c r="C88" i="2"/>
  <c r="B88" i="2"/>
  <c r="A88" i="2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A37" i="2"/>
  <c r="E36" i="2"/>
  <c r="D36" i="2"/>
  <c r="C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C33" i="2"/>
  <c r="B33" i="2"/>
  <c r="A33" i="2"/>
  <c r="E32" i="2"/>
  <c r="D32" i="2"/>
  <c r="C32" i="2"/>
  <c r="B32" i="2"/>
  <c r="A32" i="2"/>
  <c r="E31" i="2"/>
  <c r="D31" i="2"/>
  <c r="C31" i="2"/>
  <c r="B31" i="2"/>
  <c r="A31" i="2"/>
  <c r="E30" i="2"/>
  <c r="D30" i="2"/>
  <c r="C30" i="2"/>
  <c r="B30" i="2"/>
  <c r="A30" i="2"/>
  <c r="E29" i="2"/>
  <c r="D29" i="2"/>
  <c r="C29" i="2"/>
  <c r="B29" i="2"/>
  <c r="A29" i="2"/>
  <c r="E28" i="2"/>
  <c r="D28" i="2"/>
  <c r="C28" i="2"/>
  <c r="B28" i="2"/>
  <c r="A28" i="2"/>
  <c r="E27" i="2"/>
  <c r="D27" i="2"/>
  <c r="C27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E13" i="3" s="1"/>
  <c r="D7" i="2"/>
  <c r="C7" i="2"/>
  <c r="B7" i="2"/>
  <c r="A7" i="2"/>
  <c r="E6" i="2"/>
  <c r="D6" i="2"/>
  <c r="C6" i="2"/>
  <c r="C13" i="3" s="1"/>
  <c r="B6" i="2"/>
  <c r="A6" i="2"/>
  <c r="E5" i="2"/>
  <c r="D5" i="2"/>
  <c r="C5" i="2"/>
  <c r="B5" i="2"/>
  <c r="A5" i="2"/>
  <c r="E4" i="2"/>
  <c r="D4" i="2"/>
  <c r="C4" i="2"/>
  <c r="B4" i="2"/>
  <c r="A4" i="2"/>
  <c r="A3" i="2"/>
  <c r="E12" i="3" l="1"/>
  <c r="E11" i="3"/>
  <c r="D11" i="3"/>
  <c r="D12" i="3"/>
  <c r="D13" i="3"/>
  <c r="C11" i="3"/>
  <c r="C12" i="3"/>
  <c r="B11" i="3"/>
  <c r="B12" i="3"/>
  <c r="B7" i="3"/>
  <c r="C4" i="4" s="1"/>
  <c r="B9" i="3"/>
  <c r="D4" i="4" s="1"/>
  <c r="C7" i="3"/>
  <c r="C5" i="4" s="1"/>
  <c r="E5" i="4" s="1"/>
  <c r="C9" i="3"/>
  <c r="D5" i="4" s="1"/>
  <c r="D7" i="3"/>
  <c r="C6" i="4" s="1"/>
  <c r="E6" i="4" s="1"/>
  <c r="D9" i="3"/>
  <c r="D6" i="4" s="1"/>
  <c r="E7" i="3"/>
  <c r="C7" i="4" s="1"/>
  <c r="E7" i="4" s="1"/>
  <c r="E9" i="3"/>
  <c r="D7" i="4" s="1"/>
  <c r="B6" i="3"/>
  <c r="B8" i="3"/>
  <c r="B10" i="3"/>
  <c r="C6" i="3"/>
  <c r="C8" i="3"/>
  <c r="C10" i="3"/>
  <c r="D6" i="3"/>
  <c r="D8" i="3"/>
  <c r="D10" i="3"/>
  <c r="E6" i="3"/>
  <c r="E8" i="3"/>
  <c r="E10" i="3"/>
  <c r="B12" i="4" l="1"/>
  <c r="E4" i="4"/>
  <c r="E8" i="4" s="1"/>
  <c r="B11" i="4"/>
  <c r="B15" i="4" s="1"/>
  <c r="B13" i="4" l="1"/>
</calcChain>
</file>

<file path=xl/sharedStrings.xml><?xml version="1.0" encoding="utf-8"?>
<sst xmlns="http://schemas.openxmlformats.org/spreadsheetml/2006/main" count="67" uniqueCount="59">
  <si>
    <t>Portfolio Risk &amp; Return Analyzer  |  NSE Stocks  |  Historical Price Data</t>
  </si>
  <si>
    <t>Date</t>
  </si>
  <si>
    <t>TCS (₹)</t>
  </si>
  <si>
    <t>Reliance (₹)</t>
  </si>
  <si>
    <t>Infosys (₹)</t>
  </si>
  <si>
    <t>HDFC Bank (₹)</t>
  </si>
  <si>
    <t>Daily Returns  |  Formula: (Price_t − Price_t-1) / Price_t-1</t>
  </si>
  <si>
    <t>TCS Return</t>
  </si>
  <si>
    <t>Reliance Return</t>
  </si>
  <si>
    <t>Infosys Return</t>
  </si>
  <si>
    <t>HDFC Bank Return</t>
  </si>
  <si>
    <t>N/A</t>
  </si>
  <si>
    <t>Risk &amp; Return Metrics  |  Annualised  |  Risk-Free Rate: 6% p.a.</t>
  </si>
  <si>
    <t>Risk-Free Rate (Annual):</t>
  </si>
  <si>
    <t>← Assumption (hardcoded input — change as needed)</t>
  </si>
  <si>
    <t>Metric</t>
  </si>
  <si>
    <t>TCS</t>
  </si>
  <si>
    <t>Reliance</t>
  </si>
  <si>
    <t>Infosys</t>
  </si>
  <si>
    <t>HDFC Bank</t>
  </si>
  <si>
    <t>Notes</t>
  </si>
  <si>
    <t>Average Daily Return</t>
  </si>
  <si>
    <t>Mean of daily returns</t>
  </si>
  <si>
    <t>Annualised Return</t>
  </si>
  <si>
    <t>Daily avg × 252 trading days</t>
  </si>
  <si>
    <t>Daily Std Dev (Risk)</t>
  </si>
  <si>
    <t>Daily standard deviation</t>
  </si>
  <si>
    <t>Annualised Std Dev</t>
  </si>
  <si>
    <t>Daily StdDev × √252</t>
  </si>
  <si>
    <t>Sharpe Ratio</t>
  </si>
  <si>
    <t>( Ann.Return − RFR ) / Ann.StdDev</t>
  </si>
  <si>
    <t>Min Daily Return</t>
  </si>
  <si>
    <t>Worst single day</t>
  </si>
  <si>
    <t>Max Daily Return</t>
  </si>
  <si>
    <t>Best single day</t>
  </si>
  <si>
    <t>Positive Days (%)</t>
  </si>
  <si>
    <t>% of days with positive return</t>
  </si>
  <si>
    <t>Portfolio Analysis  |  Weighted Return &amp; Risk</t>
  </si>
  <si>
    <t>Stock</t>
  </si>
  <si>
    <t>Weight</t>
  </si>
  <si>
    <t>Ann. Return</t>
  </si>
  <si>
    <t>Ann. Std Dev</t>
  </si>
  <si>
    <t>Contribution to Return</t>
  </si>
  <si>
    <t>TOTAL</t>
  </si>
  <si>
    <t>Portfolio Summary</t>
  </si>
  <si>
    <t>Portfolio Return (Weighted)</t>
  </si>
  <si>
    <t>Σ (Weight × Annualised Return)</t>
  </si>
  <si>
    <t>Portfolio Risk (Simplified)</t>
  </si>
  <si>
    <t>√ Σ (w² × σ²)  — simplified (ignores correlations)</t>
  </si>
  <si>
    <t>Portfolio Sharpe Ratio</t>
  </si>
  <si>
    <t>(Port Return − RFR) / Port Risk</t>
  </si>
  <si>
    <t>Risk-Free Rate</t>
  </si>
  <si>
    <t>Linked from Metrics sheet</t>
  </si>
  <si>
    <t>Excess Return over RFR</t>
  </si>
  <si>
    <t>Portfolio Return − Risk-Free Rate</t>
  </si>
  <si>
    <t>No. of Stocks</t>
  </si>
  <si>
    <t>Stocks in portfolio</t>
  </si>
  <si>
    <t>Sum of Weights Check</t>
  </si>
  <si>
    <t>Must equal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</si>
</sst>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0.000%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808080"/>
      <name val="Arial"/>
      <charset val="1"/>
    </font>
    <font>
      <sz val="9"/>
      <color rgb="FF008000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80808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595959"/>
      </patternFill>
    </fill>
    <fill>
      <patternFill patternType="solid">
        <fgColor rgb="FFF2F4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2F4F7"/>
      </patternFill>
    </fill>
    <fill>
      <patternFill patternType="solid">
        <fgColor rgb="FFD6E4F7"/>
        <bgColor rgb="FFD9D9D9"/>
      </patternFill>
    </fill>
    <fill>
      <patternFill patternType="solid">
        <fgColor rgb="FFC9A84C"/>
        <bgColor rgb="FFBFBFB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B2A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1" fillId="5" borderId="3" xfId="0" applyFont="1" applyFill="1" applyBorder="1"/>
    <xf numFmtId="0" fontId="11" fillId="7" borderId="3" xfId="0" applyFont="1" applyFill="1" applyBorder="1"/>
    <xf numFmtId="0" fontId="14" fillId="8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/>
    </xf>
    <xf numFmtId="4" fontId="4" fillId="5" borderId="2" xfId="0" applyNumberFormat="1" applyFont="1" applyFill="1" applyBorder="1" applyAlignment="1">
      <alignment horizontal="right"/>
    </xf>
    <xf numFmtId="164" fontId="0" fillId="0" borderId="0" xfId="0" applyNumberFormat="1"/>
    <xf numFmtId="0" fontId="5" fillId="0" borderId="0" xfId="0" applyFont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10" fontId="3" fillId="5" borderId="2" xfId="0" applyNumberFormat="1" applyFont="1" applyFill="1" applyBorder="1" applyAlignment="1">
      <alignment horizontal="right"/>
    </xf>
    <xf numFmtId="164" fontId="6" fillId="4" borderId="2" xfId="0" applyNumberFormat="1" applyFont="1" applyFill="1" applyBorder="1" applyAlignment="1">
      <alignment horizontal="center"/>
    </xf>
    <xf numFmtId="10" fontId="3" fillId="4" borderId="2" xfId="0" applyNumberFormat="1" applyFont="1" applyFill="1" applyBorder="1" applyAlignment="1">
      <alignment horizontal="right"/>
    </xf>
    <xf numFmtId="0" fontId="7" fillId="0" borderId="0" xfId="0" applyFont="1"/>
    <xf numFmtId="165" fontId="8" fillId="6" borderId="0" xfId="0" applyNumberFormat="1" applyFont="1" applyFill="1"/>
    <xf numFmtId="0" fontId="9" fillId="0" borderId="0" xfId="0" applyFont="1"/>
    <xf numFmtId="0" fontId="7" fillId="7" borderId="2" xfId="0" applyFont="1" applyFill="1" applyBorder="1"/>
    <xf numFmtId="166" fontId="10" fillId="7" borderId="2" xfId="0" applyNumberFormat="1" applyFont="1" applyFill="1" applyBorder="1" applyAlignment="1">
      <alignment horizontal="center"/>
    </xf>
    <xf numFmtId="0" fontId="11" fillId="7" borderId="2" xfId="0" applyFont="1" applyFill="1" applyBorder="1"/>
    <xf numFmtId="0" fontId="7" fillId="5" borderId="2" xfId="0" applyFont="1" applyFill="1" applyBorder="1"/>
    <xf numFmtId="10" fontId="10" fillId="5" borderId="2" xfId="0" applyNumberFormat="1" applyFont="1" applyFill="1" applyBorder="1" applyAlignment="1">
      <alignment horizontal="center"/>
    </xf>
    <xf numFmtId="0" fontId="11" fillId="5" borderId="2" xfId="0" applyFont="1" applyFill="1" applyBorder="1"/>
    <xf numFmtId="2" fontId="10" fillId="7" borderId="2" xfId="0" applyNumberFormat="1" applyFont="1" applyFill="1" applyBorder="1" applyAlignment="1">
      <alignment horizontal="center"/>
    </xf>
    <xf numFmtId="10" fontId="10" fillId="7" borderId="2" xfId="0" applyNumberFormat="1" applyFont="1" applyFill="1" applyBorder="1" applyAlignment="1">
      <alignment horizontal="center"/>
    </xf>
    <xf numFmtId="165" fontId="10" fillId="5" borderId="2" xfId="0" applyNumberFormat="1" applyFont="1" applyFill="1" applyBorder="1" applyAlignment="1">
      <alignment horizontal="center"/>
    </xf>
    <xf numFmtId="0" fontId="7" fillId="4" borderId="2" xfId="0" applyFont="1" applyFill="1" applyBorder="1"/>
    <xf numFmtId="9" fontId="8" fillId="6" borderId="2" xfId="0" applyNumberFormat="1" applyFont="1" applyFill="1" applyBorder="1" applyAlignment="1">
      <alignment horizontal="center"/>
    </xf>
    <xf numFmtId="10" fontId="12" fillId="4" borderId="2" xfId="0" applyNumberFormat="1" applyFont="1" applyFill="1" applyBorder="1" applyAlignment="1">
      <alignment horizontal="center"/>
    </xf>
    <xf numFmtId="10" fontId="10" fillId="4" borderId="2" xfId="0" applyNumberFormat="1" applyFont="1" applyFill="1" applyBorder="1" applyAlignment="1">
      <alignment horizontal="center"/>
    </xf>
    <xf numFmtId="10" fontId="12" fillId="5" borderId="2" xfId="0" applyNumberFormat="1" applyFont="1" applyFill="1" applyBorder="1" applyAlignment="1">
      <alignment horizontal="center"/>
    </xf>
    <xf numFmtId="0" fontId="7" fillId="7" borderId="1" xfId="0" applyFont="1" applyFill="1" applyBorder="1"/>
    <xf numFmtId="9" fontId="13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10" fontId="13" fillId="7" borderId="1" xfId="0" applyNumberFormat="1" applyFont="1" applyFill="1" applyBorder="1" applyAlignment="1">
      <alignment horizontal="center"/>
    </xf>
    <xf numFmtId="10" fontId="13" fillId="7" borderId="2" xfId="0" applyNumberFormat="1" applyFont="1" applyFill="1" applyBorder="1" applyAlignment="1">
      <alignment horizontal="center"/>
    </xf>
    <xf numFmtId="10" fontId="13" fillId="5" borderId="2" xfId="0" applyNumberFormat="1" applyFont="1" applyFill="1" applyBorder="1" applyAlignment="1">
      <alignment horizontal="center"/>
    </xf>
    <xf numFmtId="2" fontId="13" fillId="7" borderId="2" xfId="0" applyNumberFormat="1" applyFont="1" applyFill="1" applyBorder="1" applyAlignment="1">
      <alignment horizontal="center"/>
    </xf>
    <xf numFmtId="165" fontId="13" fillId="5" borderId="2" xfId="0" applyNumberFormat="1" applyFont="1" applyFill="1" applyBorder="1" applyAlignment="1">
      <alignment horizontal="center"/>
    </xf>
    <xf numFmtId="1" fontId="13" fillId="5" borderId="2" xfId="0" applyNumberFormat="1" applyFont="1" applyFill="1" applyBorder="1" applyAlignment="1">
      <alignment horizontal="center"/>
    </xf>
    <xf numFmtId="9" fontId="13" fillId="7" borderId="2" xfId="0" applyNumberFormat="1" applyFont="1" applyFill="1" applyBorder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A"/>
      <rgbColor rgb="FFBFBFBF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F9F9F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C9A84C"/>
      <rgbColor rgb="FFFF6600"/>
      <rgbColor rgb="FF595959"/>
      <rgbColor rgb="FF878787"/>
      <rgbColor rgb="FF003366"/>
      <rgbColor rgb="FF339966"/>
      <rgbColor rgb="FF003300"/>
      <rgbColor rgb="FF333300"/>
      <rgbColor rgb="FF8B1A2D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NSE Stock Price Trends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TCS (₹)</c:v>
                </c:pt>
              </c:strCache>
            </c:strRef>
          </c:tx>
          <c:spPr>
            <a:ln w="18000">
              <a:solidFill>
                <a:srgbClr val="2E509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Data!$B$3:$B$102</c:f>
              <c:numCache>
                <c:formatCode>#,##0.00</c:formatCode>
                <c:ptCount val="100"/>
                <c:pt idx="0">
                  <c:v>2888.4</c:v>
                </c:pt>
                <c:pt idx="1">
                  <c:v>2914.2</c:v>
                </c:pt>
                <c:pt idx="2">
                  <c:v>2901.9</c:v>
                </c:pt>
                <c:pt idx="3">
                  <c:v>2988.4</c:v>
                </c:pt>
                <c:pt idx="4">
                  <c:v>2973.7</c:v>
                </c:pt>
                <c:pt idx="5">
                  <c:v>3027.2</c:v>
                </c:pt>
                <c:pt idx="6">
                  <c:v>3061.7</c:v>
                </c:pt>
                <c:pt idx="7">
                  <c:v>3028.3</c:v>
                </c:pt>
                <c:pt idx="8">
                  <c:v>3007.2</c:v>
                </c:pt>
                <c:pt idx="9">
                  <c:v>2960.3</c:v>
                </c:pt>
                <c:pt idx="10">
                  <c:v>2969.8</c:v>
                </c:pt>
                <c:pt idx="11">
                  <c:v>2970.7</c:v>
                </c:pt>
                <c:pt idx="12">
                  <c:v>2962.2</c:v>
                </c:pt>
                <c:pt idx="13">
                  <c:v>3015.2</c:v>
                </c:pt>
                <c:pt idx="14">
                  <c:v>3006.7</c:v>
                </c:pt>
                <c:pt idx="15">
                  <c:v>3073.2</c:v>
                </c:pt>
                <c:pt idx="16">
                  <c:v>3063.2</c:v>
                </c:pt>
                <c:pt idx="17">
                  <c:v>3084.9</c:v>
                </c:pt>
                <c:pt idx="18">
                  <c:v>3057.9</c:v>
                </c:pt>
                <c:pt idx="19">
                  <c:v>3057.6</c:v>
                </c:pt>
                <c:pt idx="20">
                  <c:v>3035.3</c:v>
                </c:pt>
                <c:pt idx="21">
                  <c:v>3058</c:v>
                </c:pt>
                <c:pt idx="22">
                  <c:v>3016.8</c:v>
                </c:pt>
                <c:pt idx="23">
                  <c:v>2990.2</c:v>
                </c:pt>
                <c:pt idx="24">
                  <c:v>3010.9</c:v>
                </c:pt>
                <c:pt idx="25">
                  <c:v>2991.8</c:v>
                </c:pt>
                <c:pt idx="26">
                  <c:v>3025.2</c:v>
                </c:pt>
                <c:pt idx="27">
                  <c:v>3047</c:v>
                </c:pt>
                <c:pt idx="28">
                  <c:v>3131.8</c:v>
                </c:pt>
                <c:pt idx="29">
                  <c:v>3105.7</c:v>
                </c:pt>
                <c:pt idx="30">
                  <c:v>3106</c:v>
                </c:pt>
                <c:pt idx="31">
                  <c:v>3102.2</c:v>
                </c:pt>
                <c:pt idx="32">
                  <c:v>3087.1</c:v>
                </c:pt>
                <c:pt idx="33">
                  <c:v>3147.7</c:v>
                </c:pt>
                <c:pt idx="34">
                  <c:v>3144.8</c:v>
                </c:pt>
                <c:pt idx="35">
                  <c:v>3150.6</c:v>
                </c:pt>
                <c:pt idx="36">
                  <c:v>3141.2</c:v>
                </c:pt>
                <c:pt idx="37">
                  <c:v>3119.2</c:v>
                </c:pt>
                <c:pt idx="38">
                  <c:v>3162.9</c:v>
                </c:pt>
                <c:pt idx="39">
                  <c:v>3136.6</c:v>
                </c:pt>
                <c:pt idx="40">
                  <c:v>3137.5</c:v>
                </c:pt>
                <c:pt idx="41">
                  <c:v>3133.4</c:v>
                </c:pt>
                <c:pt idx="42">
                  <c:v>3135.7</c:v>
                </c:pt>
                <c:pt idx="43">
                  <c:v>3180</c:v>
                </c:pt>
                <c:pt idx="44">
                  <c:v>3229.2</c:v>
                </c:pt>
                <c:pt idx="45">
                  <c:v>3238.2</c:v>
                </c:pt>
                <c:pt idx="46">
                  <c:v>3236.5</c:v>
                </c:pt>
                <c:pt idx="47">
                  <c:v>3208.3</c:v>
                </c:pt>
                <c:pt idx="48">
                  <c:v>3189.2</c:v>
                </c:pt>
                <c:pt idx="49">
                  <c:v>3191.9</c:v>
                </c:pt>
                <c:pt idx="50">
                  <c:v>3220.5</c:v>
                </c:pt>
                <c:pt idx="51">
                  <c:v>3230.2</c:v>
                </c:pt>
                <c:pt idx="52">
                  <c:v>3205.1</c:v>
                </c:pt>
                <c:pt idx="53">
                  <c:v>3217.8</c:v>
                </c:pt>
                <c:pt idx="54">
                  <c:v>3280.8</c:v>
                </c:pt>
                <c:pt idx="55">
                  <c:v>3282</c:v>
                </c:pt>
                <c:pt idx="56">
                  <c:v>3324.9</c:v>
                </c:pt>
                <c:pt idx="57">
                  <c:v>3310</c:v>
                </c:pt>
                <c:pt idx="58">
                  <c:v>3319</c:v>
                </c:pt>
                <c:pt idx="59">
                  <c:v>3280</c:v>
                </c:pt>
                <c:pt idx="60">
                  <c:v>3251.5</c:v>
                </c:pt>
                <c:pt idx="61">
                  <c:v>3246.8</c:v>
                </c:pt>
                <c:pt idx="62">
                  <c:v>3206.2</c:v>
                </c:pt>
                <c:pt idx="63">
                  <c:v>3227.4</c:v>
                </c:pt>
                <c:pt idx="64">
                  <c:v>3250.7</c:v>
                </c:pt>
                <c:pt idx="65">
                  <c:v>3216.1</c:v>
                </c:pt>
                <c:pt idx="66">
                  <c:v>3255.8</c:v>
                </c:pt>
                <c:pt idx="67">
                  <c:v>3295.6</c:v>
                </c:pt>
                <c:pt idx="68">
                  <c:v>3203.9</c:v>
                </c:pt>
                <c:pt idx="69">
                  <c:v>3207.8</c:v>
                </c:pt>
                <c:pt idx="70">
                  <c:v>3239.6</c:v>
                </c:pt>
                <c:pt idx="71">
                  <c:v>3268</c:v>
                </c:pt>
                <c:pt idx="72">
                  <c:v>3192.5</c:v>
                </c:pt>
                <c:pt idx="73">
                  <c:v>3206.7</c:v>
                </c:pt>
                <c:pt idx="74">
                  <c:v>3163.6</c:v>
                </c:pt>
                <c:pt idx="75">
                  <c:v>3102.3</c:v>
                </c:pt>
                <c:pt idx="76">
                  <c:v>3122.6</c:v>
                </c:pt>
                <c:pt idx="77">
                  <c:v>3150.4</c:v>
                </c:pt>
                <c:pt idx="78">
                  <c:v>3162.5</c:v>
                </c:pt>
                <c:pt idx="79">
                  <c:v>3158</c:v>
                </c:pt>
                <c:pt idx="80">
                  <c:v>3200.1</c:v>
                </c:pt>
                <c:pt idx="81">
                  <c:v>3144.4</c:v>
                </c:pt>
                <c:pt idx="82">
                  <c:v>3123.9</c:v>
                </c:pt>
                <c:pt idx="83">
                  <c:v>3186.9</c:v>
                </c:pt>
                <c:pt idx="84">
                  <c:v>3169.6</c:v>
                </c:pt>
                <c:pt idx="85">
                  <c:v>3225.3</c:v>
                </c:pt>
                <c:pt idx="86">
                  <c:v>2999.1</c:v>
                </c:pt>
                <c:pt idx="87">
                  <c:v>2991.5</c:v>
                </c:pt>
                <c:pt idx="88">
                  <c:v>2941.6</c:v>
                </c:pt>
                <c:pt idx="89">
                  <c:v>2948.2</c:v>
                </c:pt>
                <c:pt idx="90">
                  <c:v>2984.6</c:v>
                </c:pt>
                <c:pt idx="91">
                  <c:v>2909.8</c:v>
                </c:pt>
                <c:pt idx="92">
                  <c:v>2750.1</c:v>
                </c:pt>
                <c:pt idx="93">
                  <c:v>2692.2</c:v>
                </c:pt>
                <c:pt idx="94">
                  <c:v>2706.6</c:v>
                </c:pt>
                <c:pt idx="95">
                  <c:v>2717.4</c:v>
                </c:pt>
                <c:pt idx="96">
                  <c:v>2694.9</c:v>
                </c:pt>
                <c:pt idx="97">
                  <c:v>2677.9</c:v>
                </c:pt>
                <c:pt idx="98">
                  <c:v>2686.2</c:v>
                </c:pt>
                <c:pt idx="99">
                  <c:v>2676.3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36-4FCE-8386-4FD81498F007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Reliance (₹)</c:v>
                </c:pt>
              </c:strCache>
            </c:strRef>
          </c:tx>
          <c:spPr>
            <a:ln w="1800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Data!$C$3:$C$102</c:f>
              <c:numCache>
                <c:formatCode>#,##0.00</c:formatCode>
                <c:ptCount val="100"/>
                <c:pt idx="0">
                  <c:v>1364</c:v>
                </c:pt>
                <c:pt idx="1">
                  <c:v>1368.7</c:v>
                </c:pt>
                <c:pt idx="2">
                  <c:v>1363.4</c:v>
                </c:pt>
                <c:pt idx="3">
                  <c:v>1375</c:v>
                </c:pt>
                <c:pt idx="4">
                  <c:v>1384.8</c:v>
                </c:pt>
                <c:pt idx="5">
                  <c:v>1367.4</c:v>
                </c:pt>
                <c:pt idx="6">
                  <c:v>1377.8</c:v>
                </c:pt>
                <c:pt idx="7">
                  <c:v>1381.7</c:v>
                </c:pt>
                <c:pt idx="8">
                  <c:v>1375</c:v>
                </c:pt>
                <c:pt idx="9">
                  <c:v>1375.9</c:v>
                </c:pt>
                <c:pt idx="10">
                  <c:v>1374.3</c:v>
                </c:pt>
                <c:pt idx="11">
                  <c:v>1398.3</c:v>
                </c:pt>
                <c:pt idx="12">
                  <c:v>1416.8</c:v>
                </c:pt>
                <c:pt idx="13">
                  <c:v>1466.8</c:v>
                </c:pt>
                <c:pt idx="14">
                  <c:v>1465.2</c:v>
                </c:pt>
                <c:pt idx="15">
                  <c:v>1448.4</c:v>
                </c:pt>
                <c:pt idx="16">
                  <c:v>1451.6</c:v>
                </c:pt>
                <c:pt idx="17">
                  <c:v>1484.1</c:v>
                </c:pt>
                <c:pt idx="18">
                  <c:v>1486.9</c:v>
                </c:pt>
                <c:pt idx="19">
                  <c:v>1504.2</c:v>
                </c:pt>
                <c:pt idx="20">
                  <c:v>1488.5</c:v>
                </c:pt>
                <c:pt idx="21">
                  <c:v>1486.4</c:v>
                </c:pt>
                <c:pt idx="22">
                  <c:v>1484.7</c:v>
                </c:pt>
                <c:pt idx="23">
                  <c:v>1473.1</c:v>
                </c:pt>
                <c:pt idx="24">
                  <c:v>1496.1</c:v>
                </c:pt>
                <c:pt idx="25">
                  <c:v>1478</c:v>
                </c:pt>
                <c:pt idx="26">
                  <c:v>1489.3</c:v>
                </c:pt>
                <c:pt idx="27">
                  <c:v>1493.4</c:v>
                </c:pt>
                <c:pt idx="28">
                  <c:v>1511.5</c:v>
                </c:pt>
                <c:pt idx="29">
                  <c:v>1510.9</c:v>
                </c:pt>
                <c:pt idx="30">
                  <c:v>1518.9</c:v>
                </c:pt>
                <c:pt idx="31">
                  <c:v>1518.3</c:v>
                </c:pt>
                <c:pt idx="32">
                  <c:v>1519.4</c:v>
                </c:pt>
                <c:pt idx="33">
                  <c:v>1518.9</c:v>
                </c:pt>
                <c:pt idx="34">
                  <c:v>1549.1</c:v>
                </c:pt>
                <c:pt idx="35">
                  <c:v>1546.6</c:v>
                </c:pt>
                <c:pt idx="36">
                  <c:v>1535.9</c:v>
                </c:pt>
                <c:pt idx="37">
                  <c:v>1539.7</c:v>
                </c:pt>
                <c:pt idx="38">
                  <c:v>1569.9</c:v>
                </c:pt>
                <c:pt idx="39">
                  <c:v>1563.4</c:v>
                </c:pt>
                <c:pt idx="40">
                  <c:v>1567.5</c:v>
                </c:pt>
                <c:pt idx="41">
                  <c:v>1566.1</c:v>
                </c:pt>
                <c:pt idx="42">
                  <c:v>1546.3</c:v>
                </c:pt>
                <c:pt idx="43">
                  <c:v>1538.8</c:v>
                </c:pt>
                <c:pt idx="44">
                  <c:v>1535.6</c:v>
                </c:pt>
                <c:pt idx="45">
                  <c:v>1540.6</c:v>
                </c:pt>
                <c:pt idx="46">
                  <c:v>1543</c:v>
                </c:pt>
                <c:pt idx="47">
                  <c:v>1529.4</c:v>
                </c:pt>
                <c:pt idx="48">
                  <c:v>1536.9</c:v>
                </c:pt>
                <c:pt idx="49">
                  <c:v>1545</c:v>
                </c:pt>
                <c:pt idx="50">
                  <c:v>1556.5</c:v>
                </c:pt>
                <c:pt idx="51">
                  <c:v>1556.2</c:v>
                </c:pt>
                <c:pt idx="52">
                  <c:v>1542.3</c:v>
                </c:pt>
                <c:pt idx="53">
                  <c:v>1544.4</c:v>
                </c:pt>
                <c:pt idx="54">
                  <c:v>1544.4</c:v>
                </c:pt>
                <c:pt idx="55">
                  <c:v>1565.1</c:v>
                </c:pt>
                <c:pt idx="56">
                  <c:v>1575.4</c:v>
                </c:pt>
                <c:pt idx="57">
                  <c:v>1570.7</c:v>
                </c:pt>
                <c:pt idx="58">
                  <c:v>1558.2</c:v>
                </c:pt>
                <c:pt idx="59">
                  <c:v>1559.2</c:v>
                </c:pt>
                <c:pt idx="60">
                  <c:v>1545.6</c:v>
                </c:pt>
                <c:pt idx="61">
                  <c:v>1539.8</c:v>
                </c:pt>
                <c:pt idx="62">
                  <c:v>1570.4</c:v>
                </c:pt>
                <c:pt idx="63">
                  <c:v>1575.6</c:v>
                </c:pt>
                <c:pt idx="64">
                  <c:v>1592.3</c:v>
                </c:pt>
                <c:pt idx="65">
                  <c:v>1578.1</c:v>
                </c:pt>
                <c:pt idx="66">
                  <c:v>1507.6</c:v>
                </c:pt>
                <c:pt idx="67">
                  <c:v>1504.2</c:v>
                </c:pt>
                <c:pt idx="68">
                  <c:v>1470.6</c:v>
                </c:pt>
                <c:pt idx="69">
                  <c:v>1475.3</c:v>
                </c:pt>
                <c:pt idx="70">
                  <c:v>1483.2</c:v>
                </c:pt>
                <c:pt idx="71">
                  <c:v>1452.8</c:v>
                </c:pt>
                <c:pt idx="72">
                  <c:v>1458.8</c:v>
                </c:pt>
                <c:pt idx="73">
                  <c:v>1457.9</c:v>
                </c:pt>
                <c:pt idx="74">
                  <c:v>1413.6</c:v>
                </c:pt>
                <c:pt idx="75">
                  <c:v>1394</c:v>
                </c:pt>
                <c:pt idx="76">
                  <c:v>1404.6</c:v>
                </c:pt>
                <c:pt idx="77">
                  <c:v>1402.5</c:v>
                </c:pt>
                <c:pt idx="78">
                  <c:v>1386.1</c:v>
                </c:pt>
                <c:pt idx="79">
                  <c:v>1380.5</c:v>
                </c:pt>
                <c:pt idx="80">
                  <c:v>1396.7</c:v>
                </c:pt>
                <c:pt idx="81">
                  <c:v>1391</c:v>
                </c:pt>
                <c:pt idx="82">
                  <c:v>1395.4</c:v>
                </c:pt>
                <c:pt idx="83">
                  <c:v>1347</c:v>
                </c:pt>
                <c:pt idx="84">
                  <c:v>1390.4</c:v>
                </c:pt>
                <c:pt idx="85">
                  <c:v>1437.1</c:v>
                </c:pt>
                <c:pt idx="86">
                  <c:v>1456.8</c:v>
                </c:pt>
                <c:pt idx="87">
                  <c:v>1443.4</c:v>
                </c:pt>
                <c:pt idx="88">
                  <c:v>1450.8</c:v>
                </c:pt>
                <c:pt idx="89">
                  <c:v>1461.6</c:v>
                </c:pt>
                <c:pt idx="90">
                  <c:v>1458.5</c:v>
                </c:pt>
                <c:pt idx="91">
                  <c:v>1468.7</c:v>
                </c:pt>
                <c:pt idx="92">
                  <c:v>1448.9</c:v>
                </c:pt>
                <c:pt idx="93">
                  <c:v>1419.6</c:v>
                </c:pt>
                <c:pt idx="94">
                  <c:v>1437.1</c:v>
                </c:pt>
                <c:pt idx="95">
                  <c:v>1423</c:v>
                </c:pt>
                <c:pt idx="96">
                  <c:v>1441.3</c:v>
                </c:pt>
                <c:pt idx="97">
                  <c:v>1409.5</c:v>
                </c:pt>
                <c:pt idx="98">
                  <c:v>1419.4</c:v>
                </c:pt>
                <c:pt idx="99">
                  <c:v>1428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36-4FCE-8386-4FD81498F007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Infosys (₹)</c:v>
                </c:pt>
              </c:strCache>
            </c:strRef>
          </c:tx>
          <c:spPr>
            <a:ln w="18000">
              <a:solidFill>
                <a:srgbClr val="1B7A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Data!$D$3:$D$102</c:f>
              <c:numCache>
                <c:formatCode>#,##0.00</c:formatCode>
                <c:ptCount val="100"/>
                <c:pt idx="0">
                  <c:v>1441.8</c:v>
                </c:pt>
                <c:pt idx="1">
                  <c:v>1445.8</c:v>
                </c:pt>
                <c:pt idx="2">
                  <c:v>1446.6</c:v>
                </c:pt>
                <c:pt idx="3">
                  <c:v>1476</c:v>
                </c:pt>
                <c:pt idx="4">
                  <c:v>1458.5</c:v>
                </c:pt>
                <c:pt idx="5">
                  <c:v>1495</c:v>
                </c:pt>
                <c:pt idx="6">
                  <c:v>1509.3</c:v>
                </c:pt>
                <c:pt idx="7">
                  <c:v>1514.9</c:v>
                </c:pt>
                <c:pt idx="8">
                  <c:v>1493.2</c:v>
                </c:pt>
                <c:pt idx="9">
                  <c:v>1489.9</c:v>
                </c:pt>
                <c:pt idx="10">
                  <c:v>1474.4</c:v>
                </c:pt>
                <c:pt idx="11">
                  <c:v>1471.5</c:v>
                </c:pt>
                <c:pt idx="12">
                  <c:v>1441.1</c:v>
                </c:pt>
                <c:pt idx="13">
                  <c:v>1460.9</c:v>
                </c:pt>
                <c:pt idx="14">
                  <c:v>1472.4</c:v>
                </c:pt>
                <c:pt idx="15">
                  <c:v>1528.5</c:v>
                </c:pt>
                <c:pt idx="16">
                  <c:v>1525.4</c:v>
                </c:pt>
                <c:pt idx="17">
                  <c:v>1504.5</c:v>
                </c:pt>
                <c:pt idx="18">
                  <c:v>1500.2</c:v>
                </c:pt>
                <c:pt idx="19">
                  <c:v>1510.4</c:v>
                </c:pt>
                <c:pt idx="20">
                  <c:v>1493.8</c:v>
                </c:pt>
                <c:pt idx="21">
                  <c:v>1482.3</c:v>
                </c:pt>
                <c:pt idx="22">
                  <c:v>1485.5</c:v>
                </c:pt>
                <c:pt idx="23">
                  <c:v>1467.9</c:v>
                </c:pt>
                <c:pt idx="24">
                  <c:v>1466.7</c:v>
                </c:pt>
                <c:pt idx="25">
                  <c:v>1476.8</c:v>
                </c:pt>
                <c:pt idx="26">
                  <c:v>1513.5</c:v>
                </c:pt>
                <c:pt idx="27">
                  <c:v>1530.3</c:v>
                </c:pt>
                <c:pt idx="28">
                  <c:v>1551.7</c:v>
                </c:pt>
                <c:pt idx="29">
                  <c:v>1541.8</c:v>
                </c:pt>
                <c:pt idx="30">
                  <c:v>1502.8</c:v>
                </c:pt>
                <c:pt idx="31">
                  <c:v>1507.6</c:v>
                </c:pt>
                <c:pt idx="32">
                  <c:v>1486.4</c:v>
                </c:pt>
                <c:pt idx="33">
                  <c:v>1541.1</c:v>
                </c:pt>
                <c:pt idx="34">
                  <c:v>1536.5</c:v>
                </c:pt>
                <c:pt idx="35">
                  <c:v>1545</c:v>
                </c:pt>
                <c:pt idx="36">
                  <c:v>1548</c:v>
                </c:pt>
                <c:pt idx="37">
                  <c:v>1530.6</c:v>
                </c:pt>
                <c:pt idx="38">
                  <c:v>1557.9</c:v>
                </c:pt>
                <c:pt idx="39">
                  <c:v>1566.4</c:v>
                </c:pt>
                <c:pt idx="40">
                  <c:v>1560.1</c:v>
                </c:pt>
                <c:pt idx="41">
                  <c:v>1564</c:v>
                </c:pt>
                <c:pt idx="42">
                  <c:v>1561</c:v>
                </c:pt>
                <c:pt idx="43">
                  <c:v>1578.7</c:v>
                </c:pt>
                <c:pt idx="44">
                  <c:v>1597.6</c:v>
                </c:pt>
                <c:pt idx="45">
                  <c:v>1616.2</c:v>
                </c:pt>
                <c:pt idx="46">
                  <c:v>1610.8</c:v>
                </c:pt>
                <c:pt idx="47">
                  <c:v>1599</c:v>
                </c:pt>
                <c:pt idx="48">
                  <c:v>1584.8</c:v>
                </c:pt>
                <c:pt idx="49">
                  <c:v>1598</c:v>
                </c:pt>
                <c:pt idx="50">
                  <c:v>1598.2</c:v>
                </c:pt>
                <c:pt idx="51">
                  <c:v>1606.8</c:v>
                </c:pt>
                <c:pt idx="52">
                  <c:v>1592.9</c:v>
                </c:pt>
                <c:pt idx="53">
                  <c:v>1602</c:v>
                </c:pt>
                <c:pt idx="54">
                  <c:v>1626.8</c:v>
                </c:pt>
                <c:pt idx="55">
                  <c:v>1638.7</c:v>
                </c:pt>
                <c:pt idx="56">
                  <c:v>1689.6</c:v>
                </c:pt>
                <c:pt idx="57">
                  <c:v>1668.3</c:v>
                </c:pt>
                <c:pt idx="58">
                  <c:v>1663.4</c:v>
                </c:pt>
                <c:pt idx="59">
                  <c:v>1656.1</c:v>
                </c:pt>
                <c:pt idx="60">
                  <c:v>1644.7</c:v>
                </c:pt>
                <c:pt idx="61">
                  <c:v>1621.6</c:v>
                </c:pt>
                <c:pt idx="62">
                  <c:v>1615.4</c:v>
                </c:pt>
                <c:pt idx="63">
                  <c:v>1629.8</c:v>
                </c:pt>
                <c:pt idx="64">
                  <c:v>1640.4</c:v>
                </c:pt>
                <c:pt idx="65">
                  <c:v>1606.4</c:v>
                </c:pt>
                <c:pt idx="66">
                  <c:v>1612.2</c:v>
                </c:pt>
                <c:pt idx="67">
                  <c:v>1639</c:v>
                </c:pt>
                <c:pt idx="68">
                  <c:v>1613.3</c:v>
                </c:pt>
                <c:pt idx="69">
                  <c:v>1614.1</c:v>
                </c:pt>
                <c:pt idx="70">
                  <c:v>1595.9</c:v>
                </c:pt>
                <c:pt idx="71">
                  <c:v>1599</c:v>
                </c:pt>
                <c:pt idx="72">
                  <c:v>1599.8</c:v>
                </c:pt>
                <c:pt idx="73">
                  <c:v>1689.8</c:v>
                </c:pt>
                <c:pt idx="74">
                  <c:v>1681.2</c:v>
                </c:pt>
                <c:pt idx="75">
                  <c:v>1658.9</c:v>
                </c:pt>
                <c:pt idx="76">
                  <c:v>1654.4</c:v>
                </c:pt>
                <c:pt idx="77">
                  <c:v>1663.5</c:v>
                </c:pt>
                <c:pt idx="78">
                  <c:v>1670.8</c:v>
                </c:pt>
                <c:pt idx="79">
                  <c:v>1682.7</c:v>
                </c:pt>
                <c:pt idx="80">
                  <c:v>1666.5</c:v>
                </c:pt>
                <c:pt idx="81">
                  <c:v>1659.5</c:v>
                </c:pt>
                <c:pt idx="82">
                  <c:v>1641</c:v>
                </c:pt>
                <c:pt idx="83">
                  <c:v>1654.5</c:v>
                </c:pt>
                <c:pt idx="84">
                  <c:v>1629.4</c:v>
                </c:pt>
                <c:pt idx="85">
                  <c:v>1656</c:v>
                </c:pt>
                <c:pt idx="86">
                  <c:v>1535.8</c:v>
                </c:pt>
                <c:pt idx="87">
                  <c:v>1520.2</c:v>
                </c:pt>
                <c:pt idx="88">
                  <c:v>1507.1</c:v>
                </c:pt>
                <c:pt idx="89">
                  <c:v>1497.2</c:v>
                </c:pt>
                <c:pt idx="90">
                  <c:v>1497.8</c:v>
                </c:pt>
                <c:pt idx="91">
                  <c:v>1471.9</c:v>
                </c:pt>
                <c:pt idx="92">
                  <c:v>1386</c:v>
                </c:pt>
                <c:pt idx="93">
                  <c:v>1369.1</c:v>
                </c:pt>
                <c:pt idx="94">
                  <c:v>1365.6</c:v>
                </c:pt>
                <c:pt idx="95">
                  <c:v>1391.2</c:v>
                </c:pt>
                <c:pt idx="96">
                  <c:v>1373.7</c:v>
                </c:pt>
                <c:pt idx="97">
                  <c:v>1370.5</c:v>
                </c:pt>
                <c:pt idx="98">
                  <c:v>1353.2</c:v>
                </c:pt>
                <c:pt idx="99">
                  <c:v>1327.5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36-4FCE-8386-4FD81498F007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HDFC Bank (₹)</c:v>
                </c:pt>
              </c:strCache>
            </c:strRef>
          </c:tx>
          <c:spPr>
            <a:ln w="18000">
              <a:solidFill>
                <a:srgbClr val="8B1A2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Data!$E$3:$E$102</c:f>
              <c:numCache>
                <c:formatCode>#,##0.00</c:formatCode>
                <c:ptCount val="100"/>
                <c:pt idx="0">
                  <c:v>951</c:v>
                </c:pt>
                <c:pt idx="1">
                  <c:v>965.25</c:v>
                </c:pt>
                <c:pt idx="2">
                  <c:v>965.15</c:v>
                </c:pt>
                <c:pt idx="3">
                  <c:v>973.45</c:v>
                </c:pt>
                <c:pt idx="4">
                  <c:v>982.5</c:v>
                </c:pt>
                <c:pt idx="5">
                  <c:v>978.7</c:v>
                </c:pt>
                <c:pt idx="6">
                  <c:v>977.1</c:v>
                </c:pt>
                <c:pt idx="7">
                  <c:v>980.9</c:v>
                </c:pt>
                <c:pt idx="8">
                  <c:v>977</c:v>
                </c:pt>
                <c:pt idx="9">
                  <c:v>977.15</c:v>
                </c:pt>
                <c:pt idx="10">
                  <c:v>978.25</c:v>
                </c:pt>
                <c:pt idx="11">
                  <c:v>994.35</c:v>
                </c:pt>
                <c:pt idx="12">
                  <c:v>1002.55</c:v>
                </c:pt>
                <c:pt idx="13">
                  <c:v>1002.95</c:v>
                </c:pt>
                <c:pt idx="14">
                  <c:v>1007.7</c:v>
                </c:pt>
                <c:pt idx="15">
                  <c:v>1008.8</c:v>
                </c:pt>
                <c:pt idx="16">
                  <c:v>994.75</c:v>
                </c:pt>
                <c:pt idx="17">
                  <c:v>1002.95</c:v>
                </c:pt>
                <c:pt idx="18">
                  <c:v>1003.55</c:v>
                </c:pt>
                <c:pt idx="19">
                  <c:v>1007.85</c:v>
                </c:pt>
                <c:pt idx="20">
                  <c:v>998.15</c:v>
                </c:pt>
                <c:pt idx="21">
                  <c:v>987.3</c:v>
                </c:pt>
                <c:pt idx="22">
                  <c:v>992.65</c:v>
                </c:pt>
                <c:pt idx="23">
                  <c:v>985.25</c:v>
                </c:pt>
                <c:pt idx="24">
                  <c:v>984.65</c:v>
                </c:pt>
                <c:pt idx="25">
                  <c:v>982.3</c:v>
                </c:pt>
                <c:pt idx="26">
                  <c:v>984.5</c:v>
                </c:pt>
                <c:pt idx="27">
                  <c:v>991.7</c:v>
                </c:pt>
                <c:pt idx="28">
                  <c:v>989.5</c:v>
                </c:pt>
                <c:pt idx="29">
                  <c:v>986.65</c:v>
                </c:pt>
                <c:pt idx="30">
                  <c:v>989.6</c:v>
                </c:pt>
                <c:pt idx="31">
                  <c:v>996.55</c:v>
                </c:pt>
                <c:pt idx="32">
                  <c:v>992.45</c:v>
                </c:pt>
                <c:pt idx="33">
                  <c:v>994.6</c:v>
                </c:pt>
                <c:pt idx="34">
                  <c:v>1008.85</c:v>
                </c:pt>
                <c:pt idx="35">
                  <c:v>998.05</c:v>
                </c:pt>
                <c:pt idx="36">
                  <c:v>999.15</c:v>
                </c:pt>
                <c:pt idx="37">
                  <c:v>989.8</c:v>
                </c:pt>
                <c:pt idx="38">
                  <c:v>1003.9</c:v>
                </c:pt>
                <c:pt idx="39">
                  <c:v>1009.5</c:v>
                </c:pt>
                <c:pt idx="40">
                  <c:v>1007.6</c:v>
                </c:pt>
                <c:pt idx="41">
                  <c:v>1002.1</c:v>
                </c:pt>
                <c:pt idx="42">
                  <c:v>989.8</c:v>
                </c:pt>
                <c:pt idx="43">
                  <c:v>1000.5</c:v>
                </c:pt>
                <c:pt idx="44">
                  <c:v>997.2</c:v>
                </c:pt>
                <c:pt idx="45">
                  <c:v>1003.3</c:v>
                </c:pt>
                <c:pt idx="46">
                  <c:v>1003.1</c:v>
                </c:pt>
                <c:pt idx="47">
                  <c:v>997.1</c:v>
                </c:pt>
                <c:pt idx="48">
                  <c:v>989.8</c:v>
                </c:pt>
                <c:pt idx="49">
                  <c:v>1000.3</c:v>
                </c:pt>
                <c:pt idx="50">
                  <c:v>1001.5</c:v>
                </c:pt>
                <c:pt idx="51">
                  <c:v>996.1</c:v>
                </c:pt>
                <c:pt idx="52">
                  <c:v>994.3</c:v>
                </c:pt>
                <c:pt idx="53">
                  <c:v>984</c:v>
                </c:pt>
                <c:pt idx="54">
                  <c:v>979.7</c:v>
                </c:pt>
                <c:pt idx="55">
                  <c:v>985.5</c:v>
                </c:pt>
                <c:pt idx="56">
                  <c:v>987.7</c:v>
                </c:pt>
                <c:pt idx="57">
                  <c:v>996.6</c:v>
                </c:pt>
                <c:pt idx="58">
                  <c:v>997.2</c:v>
                </c:pt>
                <c:pt idx="59">
                  <c:v>992.1</c:v>
                </c:pt>
                <c:pt idx="60">
                  <c:v>991.7</c:v>
                </c:pt>
                <c:pt idx="61">
                  <c:v>990.9</c:v>
                </c:pt>
                <c:pt idx="62">
                  <c:v>991.2</c:v>
                </c:pt>
                <c:pt idx="63">
                  <c:v>991.15</c:v>
                </c:pt>
                <c:pt idx="64">
                  <c:v>1001.6</c:v>
                </c:pt>
                <c:pt idx="65">
                  <c:v>977.5</c:v>
                </c:pt>
                <c:pt idx="66">
                  <c:v>962.2</c:v>
                </c:pt>
                <c:pt idx="67">
                  <c:v>949.05</c:v>
                </c:pt>
                <c:pt idx="68">
                  <c:v>946.7</c:v>
                </c:pt>
                <c:pt idx="69">
                  <c:v>939</c:v>
                </c:pt>
                <c:pt idx="70">
                  <c:v>936.95</c:v>
                </c:pt>
                <c:pt idx="71">
                  <c:v>937.35</c:v>
                </c:pt>
                <c:pt idx="72">
                  <c:v>925.45</c:v>
                </c:pt>
                <c:pt idx="73">
                  <c:v>931.1</c:v>
                </c:pt>
                <c:pt idx="74">
                  <c:v>927.9</c:v>
                </c:pt>
                <c:pt idx="75">
                  <c:v>931.2</c:v>
                </c:pt>
                <c:pt idx="76">
                  <c:v>920.35</c:v>
                </c:pt>
                <c:pt idx="77">
                  <c:v>918.7</c:v>
                </c:pt>
                <c:pt idx="78">
                  <c:v>916.1</c:v>
                </c:pt>
                <c:pt idx="79">
                  <c:v>926.4</c:v>
                </c:pt>
                <c:pt idx="80">
                  <c:v>932.7</c:v>
                </c:pt>
                <c:pt idx="81">
                  <c:v>935.5</c:v>
                </c:pt>
                <c:pt idx="82">
                  <c:v>929.25</c:v>
                </c:pt>
                <c:pt idx="83">
                  <c:v>922.1</c:v>
                </c:pt>
                <c:pt idx="84">
                  <c:v>928.1</c:v>
                </c:pt>
                <c:pt idx="85">
                  <c:v>948.7</c:v>
                </c:pt>
                <c:pt idx="86">
                  <c:v>953.1</c:v>
                </c:pt>
                <c:pt idx="87">
                  <c:v>949.7</c:v>
                </c:pt>
                <c:pt idx="88">
                  <c:v>941.1</c:v>
                </c:pt>
                <c:pt idx="89">
                  <c:v>937.25</c:v>
                </c:pt>
                <c:pt idx="90">
                  <c:v>932.4</c:v>
                </c:pt>
                <c:pt idx="91">
                  <c:v>927.1</c:v>
                </c:pt>
                <c:pt idx="92">
                  <c:v>920.6</c:v>
                </c:pt>
                <c:pt idx="93">
                  <c:v>903.9</c:v>
                </c:pt>
                <c:pt idx="94">
                  <c:v>925.8</c:v>
                </c:pt>
                <c:pt idx="95">
                  <c:v>925.7</c:v>
                </c:pt>
                <c:pt idx="96">
                  <c:v>924.7</c:v>
                </c:pt>
                <c:pt idx="97">
                  <c:v>915.6</c:v>
                </c:pt>
                <c:pt idx="98">
                  <c:v>911.85</c:v>
                </c:pt>
                <c:pt idx="99">
                  <c:v>923.6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B36-4FCE-8386-4FD81498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151383"/>
        <c:axId val="54491121"/>
      </c:lineChart>
      <c:catAx>
        <c:axId val="40151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Trading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91121"/>
        <c:crosses val="autoZero"/>
        <c:auto val="1"/>
        <c:lblAlgn val="ctr"/>
        <c:lblOffset val="100"/>
        <c:noMultiLvlLbl val="0"/>
      </c:catAx>
      <c:valAx>
        <c:axId val="54491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151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Portfolio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Portfolio!$B$3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50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F0D-4140-AF67-AA535E6F079C}"/>
              </c:ext>
            </c:extLst>
          </c:dPt>
          <c:dPt>
            <c:idx val="1"/>
            <c:bubble3D val="0"/>
            <c:spPr>
              <a:solidFill>
                <a:srgbClr val="C9A84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F0D-4140-AF67-AA535E6F079C}"/>
              </c:ext>
            </c:extLst>
          </c:dPt>
          <c:dPt>
            <c:idx val="2"/>
            <c:bubble3D val="0"/>
            <c:spPr>
              <a:solidFill>
                <a:srgbClr val="1B7A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F0D-4140-AF67-AA535E6F079C}"/>
              </c:ext>
            </c:extLst>
          </c:dPt>
          <c:dPt>
            <c:idx val="3"/>
            <c:bubble3D val="0"/>
            <c:spPr>
              <a:solidFill>
                <a:srgbClr val="8B1A2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F0D-4140-AF67-AA535E6F079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F0D-4140-AF67-AA535E6F079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F0D-4140-AF67-AA535E6F079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F0D-4140-AF67-AA535E6F079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F0D-4140-AF67-AA535E6F0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Portfolio!$A$4:$A$7</c:f>
              <c:strCache>
                <c:ptCount val="4"/>
                <c:pt idx="0">
                  <c:v>TCS</c:v>
                </c:pt>
                <c:pt idx="1">
                  <c:v>Reliance</c:v>
                </c:pt>
                <c:pt idx="2">
                  <c:v>Infosys</c:v>
                </c:pt>
                <c:pt idx="3">
                  <c:v>HDFC Bank</c:v>
                </c:pt>
              </c:strCache>
            </c:strRef>
          </c:cat>
          <c:val>
            <c:numRef>
              <c:f>Portfolio!$B$4:$B$7</c:f>
              <c:numCache>
                <c:formatCode>0%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0D-4140-AF67-AA535E6F0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21</xdr:col>
      <xdr:colOff>187200</xdr:colOff>
      <xdr:row>32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147600</xdr:colOff>
      <xdr:row>27</xdr:row>
      <xdr:rowOff>134280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E103"/>
  <sheetViews>
    <sheetView showGridLines="0" zoomScaleNormal="100" workbookViewId="0">
      <pane ySplit="2" topLeftCell="A3" activePane="bottomLeft" state="frozen"/>
      <selection pane="bottomLeft" activeCell="F19" sqref="F19"/>
    </sheetView>
  </sheetViews>
  <sheetFormatPr defaultColWidth="8.6640625" defaultRowHeight="14.4" x14ac:dyDescent="0.3"/>
  <cols>
    <col min="1" max="5" width="14" customWidth="1"/>
  </cols>
  <sheetData>
    <row r="1" spans="1:5" ht="27.75" customHeight="1" x14ac:dyDescent="0.3">
      <c r="A1" s="4" t="s">
        <v>0</v>
      </c>
      <c r="B1" s="4"/>
      <c r="C1" s="4"/>
      <c r="D1" s="4"/>
      <c r="E1" s="4"/>
    </row>
    <row r="2" spans="1:5" ht="19.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">
      <c r="A3" s="41">
        <v>45930</v>
      </c>
      <c r="B3" s="6">
        <v>2888.4</v>
      </c>
      <c r="C3" s="6">
        <v>1364</v>
      </c>
      <c r="D3" s="6">
        <v>1441.8</v>
      </c>
      <c r="E3" s="6">
        <v>951</v>
      </c>
    </row>
    <row r="4" spans="1:5" x14ac:dyDescent="0.3">
      <c r="A4" s="41">
        <v>45931</v>
      </c>
      <c r="B4" s="7">
        <v>2914.2</v>
      </c>
      <c r="C4" s="7">
        <v>1368.7</v>
      </c>
      <c r="D4" s="7">
        <v>1445.8</v>
      </c>
      <c r="E4" s="7">
        <v>965.25</v>
      </c>
    </row>
    <row r="5" spans="1:5" x14ac:dyDescent="0.3">
      <c r="A5" s="41">
        <v>45933</v>
      </c>
      <c r="B5" s="6">
        <v>2901.9</v>
      </c>
      <c r="C5" s="6">
        <v>1363.4</v>
      </c>
      <c r="D5" s="6">
        <v>1446.6</v>
      </c>
      <c r="E5" s="6">
        <v>965.15</v>
      </c>
    </row>
    <row r="6" spans="1:5" x14ac:dyDescent="0.3">
      <c r="A6" s="41">
        <v>45936</v>
      </c>
      <c r="B6" s="7">
        <v>2988.4</v>
      </c>
      <c r="C6" s="7">
        <v>1375</v>
      </c>
      <c r="D6" s="7">
        <v>1476</v>
      </c>
      <c r="E6" s="7">
        <v>973.45</v>
      </c>
    </row>
    <row r="7" spans="1:5" x14ac:dyDescent="0.3">
      <c r="A7" s="41">
        <v>45937</v>
      </c>
      <c r="B7" s="6">
        <v>2973.7</v>
      </c>
      <c r="C7" s="6">
        <v>1384.8</v>
      </c>
      <c r="D7" s="6">
        <v>1458.5</v>
      </c>
      <c r="E7" s="6">
        <v>982.5</v>
      </c>
    </row>
    <row r="8" spans="1:5" x14ac:dyDescent="0.3">
      <c r="A8" s="41">
        <v>45938</v>
      </c>
      <c r="B8" s="7">
        <v>3027.2</v>
      </c>
      <c r="C8" s="7">
        <v>1367.4</v>
      </c>
      <c r="D8" s="7">
        <v>1495</v>
      </c>
      <c r="E8" s="7">
        <v>978.7</v>
      </c>
    </row>
    <row r="9" spans="1:5" x14ac:dyDescent="0.3">
      <c r="A9" s="41">
        <v>45939</v>
      </c>
      <c r="B9" s="6">
        <v>3061.7</v>
      </c>
      <c r="C9" s="6">
        <v>1377.8</v>
      </c>
      <c r="D9" s="6">
        <v>1509.3</v>
      </c>
      <c r="E9" s="6">
        <v>977.1</v>
      </c>
    </row>
    <row r="10" spans="1:5" x14ac:dyDescent="0.3">
      <c r="A10" s="41">
        <v>45940</v>
      </c>
      <c r="B10" s="7">
        <v>3028.3</v>
      </c>
      <c r="C10" s="7">
        <v>1381.7</v>
      </c>
      <c r="D10" s="7">
        <v>1514.9</v>
      </c>
      <c r="E10" s="7">
        <v>980.9</v>
      </c>
    </row>
    <row r="11" spans="1:5" x14ac:dyDescent="0.3">
      <c r="A11" s="41">
        <v>45943</v>
      </c>
      <c r="B11" s="6">
        <v>3007.2</v>
      </c>
      <c r="C11" s="6">
        <v>1375</v>
      </c>
      <c r="D11" s="6">
        <v>1493.2</v>
      </c>
      <c r="E11" s="6">
        <v>977</v>
      </c>
    </row>
    <row r="12" spans="1:5" x14ac:dyDescent="0.3">
      <c r="A12" s="41">
        <v>45944</v>
      </c>
      <c r="B12" s="7">
        <v>2960.3</v>
      </c>
      <c r="C12" s="7">
        <v>1375.9</v>
      </c>
      <c r="D12" s="7">
        <v>1489.9</v>
      </c>
      <c r="E12" s="7">
        <v>977.15</v>
      </c>
    </row>
    <row r="13" spans="1:5" x14ac:dyDescent="0.3">
      <c r="A13" s="41">
        <v>45945</v>
      </c>
      <c r="B13" s="6">
        <v>2969.8</v>
      </c>
      <c r="C13" s="6">
        <v>1374.3</v>
      </c>
      <c r="D13" s="6">
        <v>1474.4</v>
      </c>
      <c r="E13" s="6">
        <v>978.25</v>
      </c>
    </row>
    <row r="14" spans="1:5" x14ac:dyDescent="0.3">
      <c r="A14" s="41">
        <v>45946</v>
      </c>
      <c r="B14" s="7">
        <v>2970.7</v>
      </c>
      <c r="C14" s="7">
        <v>1398.3</v>
      </c>
      <c r="D14" s="7">
        <v>1471.5</v>
      </c>
      <c r="E14" s="7">
        <v>994.35</v>
      </c>
    </row>
    <row r="15" spans="1:5" x14ac:dyDescent="0.3">
      <c r="A15" s="41">
        <v>45947</v>
      </c>
      <c r="B15" s="6">
        <v>2962.2</v>
      </c>
      <c r="C15" s="6">
        <v>1416.8</v>
      </c>
      <c r="D15" s="6">
        <v>1441.1</v>
      </c>
      <c r="E15" s="6">
        <v>1002.55</v>
      </c>
    </row>
    <row r="16" spans="1:5" x14ac:dyDescent="0.3">
      <c r="A16" s="41">
        <v>45950</v>
      </c>
      <c r="B16" s="7">
        <v>3015.2</v>
      </c>
      <c r="C16" s="7">
        <v>1466.8</v>
      </c>
      <c r="D16" s="7">
        <v>1460.9</v>
      </c>
      <c r="E16" s="7">
        <v>1002.95</v>
      </c>
    </row>
    <row r="17" spans="1:5" x14ac:dyDescent="0.3">
      <c r="A17" s="41">
        <v>45951</v>
      </c>
      <c r="B17" s="6">
        <v>3006.7</v>
      </c>
      <c r="C17" s="6">
        <v>1465.2</v>
      </c>
      <c r="D17" s="6">
        <v>1472.4</v>
      </c>
      <c r="E17" s="6">
        <v>1007.7</v>
      </c>
    </row>
    <row r="18" spans="1:5" x14ac:dyDescent="0.3">
      <c r="A18" s="41">
        <v>45953</v>
      </c>
      <c r="B18" s="7">
        <v>3073.2</v>
      </c>
      <c r="C18" s="7">
        <v>1448.4</v>
      </c>
      <c r="D18" s="7">
        <v>1528.5</v>
      </c>
      <c r="E18" s="7">
        <v>1008.8</v>
      </c>
    </row>
    <row r="19" spans="1:5" x14ac:dyDescent="0.3">
      <c r="A19" s="41">
        <v>45954</v>
      </c>
      <c r="B19" s="6">
        <v>3063.2</v>
      </c>
      <c r="C19" s="6">
        <v>1451.6</v>
      </c>
      <c r="D19" s="6">
        <v>1525.4</v>
      </c>
      <c r="E19" s="6">
        <v>994.75</v>
      </c>
    </row>
    <row r="20" spans="1:5" x14ac:dyDescent="0.3">
      <c r="A20" s="41">
        <v>45957</v>
      </c>
      <c r="B20" s="7">
        <v>3084.9</v>
      </c>
      <c r="C20" s="7">
        <v>1484.1</v>
      </c>
      <c r="D20" s="7">
        <v>1504.5</v>
      </c>
      <c r="E20" s="7">
        <v>1002.95</v>
      </c>
    </row>
    <row r="21" spans="1:5" x14ac:dyDescent="0.3">
      <c r="A21" s="41">
        <v>45958</v>
      </c>
      <c r="B21" s="6">
        <v>3057.9</v>
      </c>
      <c r="C21" s="6">
        <v>1486.9</v>
      </c>
      <c r="D21" s="6">
        <v>1500.2</v>
      </c>
      <c r="E21" s="6">
        <v>1003.55</v>
      </c>
    </row>
    <row r="22" spans="1:5" x14ac:dyDescent="0.3">
      <c r="A22" s="41">
        <v>45959</v>
      </c>
      <c r="B22" s="7">
        <v>3057.6</v>
      </c>
      <c r="C22" s="7">
        <v>1504.2</v>
      </c>
      <c r="D22" s="7">
        <v>1510.4</v>
      </c>
      <c r="E22" s="7">
        <v>1007.85</v>
      </c>
    </row>
    <row r="23" spans="1:5" x14ac:dyDescent="0.3">
      <c r="A23" s="41">
        <v>45960</v>
      </c>
      <c r="B23" s="6">
        <v>3035.3</v>
      </c>
      <c r="C23" s="6">
        <v>1488.5</v>
      </c>
      <c r="D23" s="6">
        <v>1493.8</v>
      </c>
      <c r="E23" s="6">
        <v>998.15</v>
      </c>
    </row>
    <row r="24" spans="1:5" x14ac:dyDescent="0.3">
      <c r="A24" s="41">
        <v>45961</v>
      </c>
      <c r="B24" s="7">
        <v>3058</v>
      </c>
      <c r="C24" s="7">
        <v>1486.4</v>
      </c>
      <c r="D24" s="7">
        <v>1482.3</v>
      </c>
      <c r="E24" s="7">
        <v>987.3</v>
      </c>
    </row>
    <row r="25" spans="1:5" x14ac:dyDescent="0.3">
      <c r="A25" s="41">
        <v>45964</v>
      </c>
      <c r="B25" s="6">
        <v>3016.8</v>
      </c>
      <c r="C25" s="6">
        <v>1484.7</v>
      </c>
      <c r="D25" s="6">
        <v>1485.5</v>
      </c>
      <c r="E25" s="6">
        <v>992.65</v>
      </c>
    </row>
    <row r="26" spans="1:5" x14ac:dyDescent="0.3">
      <c r="A26" s="41">
        <v>45965</v>
      </c>
      <c r="B26" s="7">
        <v>2990.2</v>
      </c>
      <c r="C26" s="7">
        <v>1473.1</v>
      </c>
      <c r="D26" s="7">
        <v>1467.9</v>
      </c>
      <c r="E26" s="7">
        <v>985.25</v>
      </c>
    </row>
    <row r="27" spans="1:5" x14ac:dyDescent="0.3">
      <c r="A27" s="41">
        <v>45967</v>
      </c>
      <c r="B27" s="6">
        <v>3010.9</v>
      </c>
      <c r="C27" s="6">
        <v>1496.1</v>
      </c>
      <c r="D27" s="6">
        <v>1466.7</v>
      </c>
      <c r="E27" s="6">
        <v>984.65</v>
      </c>
    </row>
    <row r="28" spans="1:5" x14ac:dyDescent="0.3">
      <c r="A28" s="41">
        <v>45968</v>
      </c>
      <c r="B28" s="7">
        <v>2991.8</v>
      </c>
      <c r="C28" s="7">
        <v>1478</v>
      </c>
      <c r="D28" s="7">
        <v>1476.8</v>
      </c>
      <c r="E28" s="7">
        <v>982.3</v>
      </c>
    </row>
    <row r="29" spans="1:5" x14ac:dyDescent="0.3">
      <c r="A29" s="41">
        <v>45971</v>
      </c>
      <c r="B29" s="6">
        <v>3025.2</v>
      </c>
      <c r="C29" s="6">
        <v>1489.3</v>
      </c>
      <c r="D29" s="6">
        <v>1513.5</v>
      </c>
      <c r="E29" s="6">
        <v>984.5</v>
      </c>
    </row>
    <row r="30" spans="1:5" x14ac:dyDescent="0.3">
      <c r="A30" s="41">
        <v>45972</v>
      </c>
      <c r="B30" s="7">
        <v>3047</v>
      </c>
      <c r="C30" s="7">
        <v>1493.4</v>
      </c>
      <c r="D30" s="7">
        <v>1530.3</v>
      </c>
      <c r="E30" s="7">
        <v>991.7</v>
      </c>
    </row>
    <row r="31" spans="1:5" x14ac:dyDescent="0.3">
      <c r="A31" s="41">
        <v>45973</v>
      </c>
      <c r="B31" s="6">
        <v>3131.8</v>
      </c>
      <c r="C31" s="6">
        <v>1511.5</v>
      </c>
      <c r="D31" s="6">
        <v>1551.7</v>
      </c>
      <c r="E31" s="6">
        <v>989.5</v>
      </c>
    </row>
    <row r="32" spans="1:5" x14ac:dyDescent="0.3">
      <c r="A32" s="41">
        <v>45974</v>
      </c>
      <c r="B32" s="7">
        <v>3105.7</v>
      </c>
      <c r="C32" s="7">
        <v>1510.9</v>
      </c>
      <c r="D32" s="7">
        <v>1541.8</v>
      </c>
      <c r="E32" s="7">
        <v>986.65</v>
      </c>
    </row>
    <row r="33" spans="1:5" x14ac:dyDescent="0.3">
      <c r="A33" s="41">
        <v>45975</v>
      </c>
      <c r="B33" s="6">
        <v>3106</v>
      </c>
      <c r="C33" s="6">
        <v>1518.9</v>
      </c>
      <c r="D33" s="6">
        <v>1502.8</v>
      </c>
      <c r="E33" s="6">
        <v>989.6</v>
      </c>
    </row>
    <row r="34" spans="1:5" x14ac:dyDescent="0.3">
      <c r="A34" s="41">
        <v>45978</v>
      </c>
      <c r="B34" s="7">
        <v>3102.2</v>
      </c>
      <c r="C34" s="7">
        <v>1518.3</v>
      </c>
      <c r="D34" s="7">
        <v>1507.6</v>
      </c>
      <c r="E34" s="7">
        <v>996.55</v>
      </c>
    </row>
    <row r="35" spans="1:5" x14ac:dyDescent="0.3">
      <c r="A35" s="41">
        <v>45979</v>
      </c>
      <c r="B35" s="6">
        <v>3087.1</v>
      </c>
      <c r="C35" s="6">
        <v>1519.4</v>
      </c>
      <c r="D35" s="6">
        <v>1486.4</v>
      </c>
      <c r="E35" s="6">
        <v>992.45</v>
      </c>
    </row>
    <row r="36" spans="1:5" x14ac:dyDescent="0.3">
      <c r="A36" s="41">
        <v>45980</v>
      </c>
      <c r="B36" s="7">
        <v>3147.7</v>
      </c>
      <c r="C36" s="7">
        <v>1518.9</v>
      </c>
      <c r="D36" s="7">
        <v>1541.1</v>
      </c>
      <c r="E36" s="7">
        <v>994.6</v>
      </c>
    </row>
    <row r="37" spans="1:5" x14ac:dyDescent="0.3">
      <c r="A37" s="41">
        <v>45981</v>
      </c>
      <c r="B37" s="6">
        <v>3144.8</v>
      </c>
      <c r="C37" s="6">
        <v>1549.1</v>
      </c>
      <c r="D37" s="6">
        <v>1536.5</v>
      </c>
      <c r="E37" s="6">
        <v>1008.85</v>
      </c>
    </row>
    <row r="38" spans="1:5" x14ac:dyDescent="0.3">
      <c r="A38" s="41">
        <v>45982</v>
      </c>
      <c r="B38" s="7">
        <v>3150.6</v>
      </c>
      <c r="C38" s="7">
        <v>1546.6</v>
      </c>
      <c r="D38" s="7">
        <v>1545</v>
      </c>
      <c r="E38" s="7">
        <v>998.05</v>
      </c>
    </row>
    <row r="39" spans="1:5" x14ac:dyDescent="0.3">
      <c r="A39" s="41">
        <v>45985</v>
      </c>
      <c r="B39" s="6">
        <v>3141.2</v>
      </c>
      <c r="C39" s="6">
        <v>1535.9</v>
      </c>
      <c r="D39" s="6">
        <v>1548</v>
      </c>
      <c r="E39" s="6">
        <v>999.15</v>
      </c>
    </row>
    <row r="40" spans="1:5" x14ac:dyDescent="0.3">
      <c r="A40" s="41">
        <v>45986</v>
      </c>
      <c r="B40" s="7">
        <v>3119.2</v>
      </c>
      <c r="C40" s="7">
        <v>1539.7</v>
      </c>
      <c r="D40" s="7">
        <v>1530.6</v>
      </c>
      <c r="E40" s="7">
        <v>989.8</v>
      </c>
    </row>
    <row r="41" spans="1:5" x14ac:dyDescent="0.3">
      <c r="A41" s="41">
        <v>45987</v>
      </c>
      <c r="B41" s="6">
        <v>3162.9</v>
      </c>
      <c r="C41" s="6">
        <v>1569.9</v>
      </c>
      <c r="D41" s="6">
        <v>1557.9</v>
      </c>
      <c r="E41" s="6">
        <v>1003.9</v>
      </c>
    </row>
    <row r="42" spans="1:5" x14ac:dyDescent="0.3">
      <c r="A42" s="41">
        <v>45988</v>
      </c>
      <c r="B42" s="7">
        <v>3136.6</v>
      </c>
      <c r="C42" s="7">
        <v>1563.4</v>
      </c>
      <c r="D42" s="7">
        <v>1566.4</v>
      </c>
      <c r="E42" s="7">
        <v>1009.5</v>
      </c>
    </row>
    <row r="43" spans="1:5" x14ac:dyDescent="0.3">
      <c r="A43" s="41">
        <v>45989</v>
      </c>
      <c r="B43" s="6">
        <v>3137.5</v>
      </c>
      <c r="C43" s="6">
        <v>1567.5</v>
      </c>
      <c r="D43" s="6">
        <v>1560.1</v>
      </c>
      <c r="E43" s="6">
        <v>1007.6</v>
      </c>
    </row>
    <row r="44" spans="1:5" x14ac:dyDescent="0.3">
      <c r="A44" s="41">
        <v>45992</v>
      </c>
      <c r="B44" s="7">
        <v>3133.4</v>
      </c>
      <c r="C44" s="7">
        <v>1566.1</v>
      </c>
      <c r="D44" s="7">
        <v>1564</v>
      </c>
      <c r="E44" s="7">
        <v>1002.1</v>
      </c>
    </row>
    <row r="45" spans="1:5" x14ac:dyDescent="0.3">
      <c r="A45" s="41">
        <v>45993</v>
      </c>
      <c r="B45" s="6">
        <v>3135.7</v>
      </c>
      <c r="C45" s="6">
        <v>1546.3</v>
      </c>
      <c r="D45" s="6">
        <v>1561</v>
      </c>
      <c r="E45" s="6">
        <v>989.8</v>
      </c>
    </row>
    <row r="46" spans="1:5" x14ac:dyDescent="0.3">
      <c r="A46" s="41">
        <v>45994</v>
      </c>
      <c r="B46" s="7">
        <v>3180</v>
      </c>
      <c r="C46" s="7">
        <v>1538.8</v>
      </c>
      <c r="D46" s="7">
        <v>1578.7</v>
      </c>
      <c r="E46" s="7">
        <v>1000.5</v>
      </c>
    </row>
    <row r="47" spans="1:5" x14ac:dyDescent="0.3">
      <c r="A47" s="41">
        <v>45995</v>
      </c>
      <c r="B47" s="6">
        <v>3229.2</v>
      </c>
      <c r="C47" s="6">
        <v>1535.6</v>
      </c>
      <c r="D47" s="6">
        <v>1597.6</v>
      </c>
      <c r="E47" s="6">
        <v>997.2</v>
      </c>
    </row>
    <row r="48" spans="1:5" x14ac:dyDescent="0.3">
      <c r="A48" s="41">
        <v>45996</v>
      </c>
      <c r="B48" s="7">
        <v>3238.2</v>
      </c>
      <c r="C48" s="7">
        <v>1540.6</v>
      </c>
      <c r="D48" s="7">
        <v>1616.2</v>
      </c>
      <c r="E48" s="7">
        <v>1003.3</v>
      </c>
    </row>
    <row r="49" spans="1:5" x14ac:dyDescent="0.3">
      <c r="A49" s="41">
        <v>45999</v>
      </c>
      <c r="B49" s="6">
        <v>3236.5</v>
      </c>
      <c r="C49" s="6">
        <v>1543</v>
      </c>
      <c r="D49" s="6">
        <v>1610.8</v>
      </c>
      <c r="E49" s="6">
        <v>1003.1</v>
      </c>
    </row>
    <row r="50" spans="1:5" x14ac:dyDescent="0.3">
      <c r="A50" s="41">
        <v>46000</v>
      </c>
      <c r="B50" s="7">
        <v>3208.3</v>
      </c>
      <c r="C50" s="7">
        <v>1529.4</v>
      </c>
      <c r="D50" s="7">
        <v>1599</v>
      </c>
      <c r="E50" s="7">
        <v>997.1</v>
      </c>
    </row>
    <row r="51" spans="1:5" x14ac:dyDescent="0.3">
      <c r="A51" s="41">
        <v>46001</v>
      </c>
      <c r="B51" s="6">
        <v>3189.2</v>
      </c>
      <c r="C51" s="6">
        <v>1536.9</v>
      </c>
      <c r="D51" s="6">
        <v>1584.8</v>
      </c>
      <c r="E51" s="6">
        <v>989.8</v>
      </c>
    </row>
    <row r="52" spans="1:5" x14ac:dyDescent="0.3">
      <c r="A52" s="41">
        <v>46002</v>
      </c>
      <c r="B52" s="7">
        <v>3191.9</v>
      </c>
      <c r="C52" s="7">
        <v>1545</v>
      </c>
      <c r="D52" s="7">
        <v>1598</v>
      </c>
      <c r="E52" s="7">
        <v>1000.3</v>
      </c>
    </row>
    <row r="53" spans="1:5" x14ac:dyDescent="0.3">
      <c r="A53" s="41">
        <v>46003</v>
      </c>
      <c r="B53" s="6">
        <v>3220.5</v>
      </c>
      <c r="C53" s="6">
        <v>1556.5</v>
      </c>
      <c r="D53" s="6">
        <v>1598.2</v>
      </c>
      <c r="E53" s="6">
        <v>1001.5</v>
      </c>
    </row>
    <row r="54" spans="1:5" x14ac:dyDescent="0.3">
      <c r="A54" s="41">
        <v>46006</v>
      </c>
      <c r="B54" s="7">
        <v>3230.2</v>
      </c>
      <c r="C54" s="7">
        <v>1556.2</v>
      </c>
      <c r="D54" s="7">
        <v>1606.8</v>
      </c>
      <c r="E54" s="7">
        <v>996.1</v>
      </c>
    </row>
    <row r="55" spans="1:5" x14ac:dyDescent="0.3">
      <c r="A55" s="41">
        <v>46007</v>
      </c>
      <c r="B55" s="6">
        <v>3205.1</v>
      </c>
      <c r="C55" s="6">
        <v>1542.3</v>
      </c>
      <c r="D55" s="6">
        <v>1592.9</v>
      </c>
      <c r="E55" s="6">
        <v>994.3</v>
      </c>
    </row>
    <row r="56" spans="1:5" x14ac:dyDescent="0.3">
      <c r="A56" s="41">
        <v>46008</v>
      </c>
      <c r="B56" s="7">
        <v>3217.8</v>
      </c>
      <c r="C56" s="7">
        <v>1544.4</v>
      </c>
      <c r="D56" s="7">
        <v>1602</v>
      </c>
      <c r="E56" s="7">
        <v>984</v>
      </c>
    </row>
    <row r="57" spans="1:5" x14ac:dyDescent="0.3">
      <c r="A57" s="41">
        <v>46009</v>
      </c>
      <c r="B57" s="6">
        <v>3280.8</v>
      </c>
      <c r="C57" s="6">
        <v>1544.4</v>
      </c>
      <c r="D57" s="6">
        <v>1626.8</v>
      </c>
      <c r="E57" s="6">
        <v>979.7</v>
      </c>
    </row>
    <row r="58" spans="1:5" x14ac:dyDescent="0.3">
      <c r="A58" s="41">
        <v>46010</v>
      </c>
      <c r="B58" s="7">
        <v>3282</v>
      </c>
      <c r="C58" s="7">
        <v>1565.1</v>
      </c>
      <c r="D58" s="7">
        <v>1638.7</v>
      </c>
      <c r="E58" s="7">
        <v>985.5</v>
      </c>
    </row>
    <row r="59" spans="1:5" x14ac:dyDescent="0.3">
      <c r="A59" s="41">
        <v>46013</v>
      </c>
      <c r="B59" s="6">
        <v>3324.9</v>
      </c>
      <c r="C59" s="6">
        <v>1575.4</v>
      </c>
      <c r="D59" s="6">
        <v>1689.6</v>
      </c>
      <c r="E59" s="6">
        <v>987.7</v>
      </c>
    </row>
    <row r="60" spans="1:5" x14ac:dyDescent="0.3">
      <c r="A60" s="41">
        <v>46014</v>
      </c>
      <c r="B60" s="7">
        <v>3310</v>
      </c>
      <c r="C60" s="7">
        <v>1570.7</v>
      </c>
      <c r="D60" s="7">
        <v>1668.3</v>
      </c>
      <c r="E60" s="7">
        <v>996.6</v>
      </c>
    </row>
    <row r="61" spans="1:5" x14ac:dyDescent="0.3">
      <c r="A61" s="41">
        <v>46015</v>
      </c>
      <c r="B61" s="6">
        <v>3319</v>
      </c>
      <c r="C61" s="6">
        <v>1558.2</v>
      </c>
      <c r="D61" s="6">
        <v>1663.4</v>
      </c>
      <c r="E61" s="6">
        <v>997.2</v>
      </c>
    </row>
    <row r="62" spans="1:5" x14ac:dyDescent="0.3">
      <c r="A62" s="41">
        <v>46017</v>
      </c>
      <c r="B62" s="7">
        <v>3280</v>
      </c>
      <c r="C62" s="7">
        <v>1559.2</v>
      </c>
      <c r="D62" s="7">
        <v>1656.1</v>
      </c>
      <c r="E62" s="7">
        <v>992.1</v>
      </c>
    </row>
    <row r="63" spans="1:5" x14ac:dyDescent="0.3">
      <c r="A63" s="41">
        <v>46020</v>
      </c>
      <c r="B63" s="6">
        <v>3251.5</v>
      </c>
      <c r="C63" s="6">
        <v>1545.6</v>
      </c>
      <c r="D63" s="6">
        <v>1644.7</v>
      </c>
      <c r="E63" s="6">
        <v>991.7</v>
      </c>
    </row>
    <row r="64" spans="1:5" x14ac:dyDescent="0.3">
      <c r="A64" s="41">
        <v>46021</v>
      </c>
      <c r="B64" s="7">
        <v>3246.8</v>
      </c>
      <c r="C64" s="7">
        <v>1539.8</v>
      </c>
      <c r="D64" s="7">
        <v>1621.6</v>
      </c>
      <c r="E64" s="7">
        <v>990.9</v>
      </c>
    </row>
    <row r="65" spans="1:5" x14ac:dyDescent="0.3">
      <c r="A65" s="41">
        <v>46022</v>
      </c>
      <c r="B65" s="6">
        <v>3206.2</v>
      </c>
      <c r="C65" s="6">
        <v>1570.4</v>
      </c>
      <c r="D65" s="6">
        <v>1615.4</v>
      </c>
      <c r="E65" s="6">
        <v>991.2</v>
      </c>
    </row>
    <row r="66" spans="1:5" x14ac:dyDescent="0.3">
      <c r="A66" s="41">
        <v>46023</v>
      </c>
      <c r="B66" s="7">
        <v>3227.4</v>
      </c>
      <c r="C66" s="7">
        <v>1575.6</v>
      </c>
      <c r="D66" s="7">
        <v>1629.8</v>
      </c>
      <c r="E66" s="7">
        <v>991.15</v>
      </c>
    </row>
    <row r="67" spans="1:5" x14ac:dyDescent="0.3">
      <c r="A67" s="41">
        <v>46024</v>
      </c>
      <c r="B67" s="6">
        <v>3250.7</v>
      </c>
      <c r="C67" s="6">
        <v>1592.3</v>
      </c>
      <c r="D67" s="6">
        <v>1640.4</v>
      </c>
      <c r="E67" s="6">
        <v>1001.6</v>
      </c>
    </row>
    <row r="68" spans="1:5" x14ac:dyDescent="0.3">
      <c r="A68" s="41">
        <v>46027</v>
      </c>
      <c r="B68" s="7">
        <v>3216.1</v>
      </c>
      <c r="C68" s="7">
        <v>1578.1</v>
      </c>
      <c r="D68" s="7">
        <v>1606.4</v>
      </c>
      <c r="E68" s="7">
        <v>977.5</v>
      </c>
    </row>
    <row r="69" spans="1:5" x14ac:dyDescent="0.3">
      <c r="A69" s="41">
        <v>46028</v>
      </c>
      <c r="B69" s="6">
        <v>3255.8</v>
      </c>
      <c r="C69" s="6">
        <v>1507.6</v>
      </c>
      <c r="D69" s="6">
        <v>1612.2</v>
      </c>
      <c r="E69" s="6">
        <v>962.2</v>
      </c>
    </row>
    <row r="70" spans="1:5" x14ac:dyDescent="0.3">
      <c r="A70" s="41">
        <v>46029</v>
      </c>
      <c r="B70" s="7">
        <v>3295.6</v>
      </c>
      <c r="C70" s="7">
        <v>1504.2</v>
      </c>
      <c r="D70" s="7">
        <v>1639</v>
      </c>
      <c r="E70" s="7">
        <v>949.05</v>
      </c>
    </row>
    <row r="71" spans="1:5" x14ac:dyDescent="0.3">
      <c r="A71" s="41">
        <v>46030</v>
      </c>
      <c r="B71" s="6">
        <v>3203.9</v>
      </c>
      <c r="C71" s="6">
        <v>1470.6</v>
      </c>
      <c r="D71" s="6">
        <v>1613.3</v>
      </c>
      <c r="E71" s="6">
        <v>946.7</v>
      </c>
    </row>
    <row r="72" spans="1:5" x14ac:dyDescent="0.3">
      <c r="A72" s="41">
        <v>46031</v>
      </c>
      <c r="B72" s="7">
        <v>3207.8</v>
      </c>
      <c r="C72" s="7">
        <v>1475.3</v>
      </c>
      <c r="D72" s="7">
        <v>1614.1</v>
      </c>
      <c r="E72" s="7">
        <v>939</v>
      </c>
    </row>
    <row r="73" spans="1:5" x14ac:dyDescent="0.3">
      <c r="A73" s="41">
        <v>46034</v>
      </c>
      <c r="B73" s="6">
        <v>3239.6</v>
      </c>
      <c r="C73" s="6">
        <v>1483.2</v>
      </c>
      <c r="D73" s="6">
        <v>1595.9</v>
      </c>
      <c r="E73" s="6">
        <v>936.95</v>
      </c>
    </row>
    <row r="74" spans="1:5" x14ac:dyDescent="0.3">
      <c r="A74" s="41">
        <v>46035</v>
      </c>
      <c r="B74" s="7">
        <v>3268</v>
      </c>
      <c r="C74" s="7">
        <v>1452.8</v>
      </c>
      <c r="D74" s="7">
        <v>1599</v>
      </c>
      <c r="E74" s="7">
        <v>937.35</v>
      </c>
    </row>
    <row r="75" spans="1:5" x14ac:dyDescent="0.3">
      <c r="A75" s="41">
        <v>46036</v>
      </c>
      <c r="B75" s="6">
        <v>3192.5</v>
      </c>
      <c r="C75" s="6">
        <v>1458.8</v>
      </c>
      <c r="D75" s="6">
        <v>1599.8</v>
      </c>
      <c r="E75" s="6">
        <v>925.45</v>
      </c>
    </row>
    <row r="76" spans="1:5" x14ac:dyDescent="0.3">
      <c r="A76" s="41">
        <v>46038</v>
      </c>
      <c r="B76" s="7">
        <v>3206.7</v>
      </c>
      <c r="C76" s="7">
        <v>1457.9</v>
      </c>
      <c r="D76" s="7">
        <v>1689.8</v>
      </c>
      <c r="E76" s="7">
        <v>931.1</v>
      </c>
    </row>
    <row r="77" spans="1:5" x14ac:dyDescent="0.3">
      <c r="A77" s="41">
        <v>46041</v>
      </c>
      <c r="B77" s="6">
        <v>3163.6</v>
      </c>
      <c r="C77" s="6">
        <v>1413.6</v>
      </c>
      <c r="D77" s="6">
        <v>1681.2</v>
      </c>
      <c r="E77" s="6">
        <v>927.9</v>
      </c>
    </row>
    <row r="78" spans="1:5" x14ac:dyDescent="0.3">
      <c r="A78" s="41">
        <v>46042</v>
      </c>
      <c r="B78" s="7">
        <v>3102.3</v>
      </c>
      <c r="C78" s="7">
        <v>1394</v>
      </c>
      <c r="D78" s="7">
        <v>1658.9</v>
      </c>
      <c r="E78" s="7">
        <v>931.2</v>
      </c>
    </row>
    <row r="79" spans="1:5" x14ac:dyDescent="0.3">
      <c r="A79" s="41">
        <v>46043</v>
      </c>
      <c r="B79" s="6">
        <v>3122.6</v>
      </c>
      <c r="C79" s="6">
        <v>1404.6</v>
      </c>
      <c r="D79" s="6">
        <v>1654.4</v>
      </c>
      <c r="E79" s="6">
        <v>920.35</v>
      </c>
    </row>
    <row r="80" spans="1:5" x14ac:dyDescent="0.3">
      <c r="A80" s="41">
        <v>46044</v>
      </c>
      <c r="B80" s="7">
        <v>3150.4</v>
      </c>
      <c r="C80" s="7">
        <v>1402.5</v>
      </c>
      <c r="D80" s="7">
        <v>1663.5</v>
      </c>
      <c r="E80" s="7">
        <v>918.7</v>
      </c>
    </row>
    <row r="81" spans="1:5" x14ac:dyDescent="0.3">
      <c r="A81" s="41">
        <v>46045</v>
      </c>
      <c r="B81" s="6">
        <v>3162.5</v>
      </c>
      <c r="C81" s="6">
        <v>1386.1</v>
      </c>
      <c r="D81" s="6">
        <v>1670.8</v>
      </c>
      <c r="E81" s="6">
        <v>916.1</v>
      </c>
    </row>
    <row r="82" spans="1:5" x14ac:dyDescent="0.3">
      <c r="A82" s="41">
        <v>46049</v>
      </c>
      <c r="B82" s="7">
        <v>3158</v>
      </c>
      <c r="C82" s="7">
        <v>1380.5</v>
      </c>
      <c r="D82" s="7">
        <v>1682.7</v>
      </c>
      <c r="E82" s="7">
        <v>926.4</v>
      </c>
    </row>
    <row r="83" spans="1:5" x14ac:dyDescent="0.3">
      <c r="A83" s="41">
        <v>46050</v>
      </c>
      <c r="B83" s="6">
        <v>3200.1</v>
      </c>
      <c r="C83" s="6">
        <v>1396.7</v>
      </c>
      <c r="D83" s="6">
        <v>1666.5</v>
      </c>
      <c r="E83" s="6">
        <v>932.7</v>
      </c>
    </row>
    <row r="84" spans="1:5" x14ac:dyDescent="0.3">
      <c r="A84" s="41">
        <v>46051</v>
      </c>
      <c r="B84" s="7">
        <v>3144.4</v>
      </c>
      <c r="C84" s="7">
        <v>1391</v>
      </c>
      <c r="D84" s="7">
        <v>1659.5</v>
      </c>
      <c r="E84" s="7">
        <v>935.5</v>
      </c>
    </row>
    <row r="85" spans="1:5" x14ac:dyDescent="0.3">
      <c r="A85" s="41">
        <v>46052</v>
      </c>
      <c r="B85" s="6">
        <v>3123.9</v>
      </c>
      <c r="C85" s="6">
        <v>1395.4</v>
      </c>
      <c r="D85" s="6">
        <v>1641</v>
      </c>
      <c r="E85" s="6">
        <v>929.25</v>
      </c>
    </row>
    <row r="86" spans="1:5" x14ac:dyDescent="0.3">
      <c r="A86" s="41">
        <v>46054</v>
      </c>
      <c r="B86" s="7">
        <v>3186.9</v>
      </c>
      <c r="C86" s="7">
        <v>1347</v>
      </c>
      <c r="D86" s="7">
        <v>1654.5</v>
      </c>
      <c r="E86" s="7">
        <v>922.1</v>
      </c>
    </row>
    <row r="87" spans="1:5" x14ac:dyDescent="0.3">
      <c r="A87" s="41">
        <v>46055</v>
      </c>
      <c r="B87" s="6">
        <v>3169.6</v>
      </c>
      <c r="C87" s="6">
        <v>1390.4</v>
      </c>
      <c r="D87" s="6">
        <v>1629.4</v>
      </c>
      <c r="E87" s="6">
        <v>928.1</v>
      </c>
    </row>
    <row r="88" spans="1:5" x14ac:dyDescent="0.3">
      <c r="A88" s="41">
        <v>46056</v>
      </c>
      <c r="B88" s="7">
        <v>3225.3</v>
      </c>
      <c r="C88" s="7">
        <v>1437.1</v>
      </c>
      <c r="D88" s="7">
        <v>1656</v>
      </c>
      <c r="E88" s="7">
        <v>948.7</v>
      </c>
    </row>
    <row r="89" spans="1:5" x14ac:dyDescent="0.3">
      <c r="A89" s="41">
        <v>46057</v>
      </c>
      <c r="B89" s="6">
        <v>2999.1</v>
      </c>
      <c r="C89" s="6">
        <v>1456.8</v>
      </c>
      <c r="D89" s="6">
        <v>1535.8</v>
      </c>
      <c r="E89" s="6">
        <v>953.1</v>
      </c>
    </row>
    <row r="90" spans="1:5" x14ac:dyDescent="0.3">
      <c r="A90" s="41">
        <v>46058</v>
      </c>
      <c r="B90" s="7">
        <v>2991.5</v>
      </c>
      <c r="C90" s="7">
        <v>1443.4</v>
      </c>
      <c r="D90" s="7">
        <v>1520.2</v>
      </c>
      <c r="E90" s="7">
        <v>949.7</v>
      </c>
    </row>
    <row r="91" spans="1:5" x14ac:dyDescent="0.3">
      <c r="A91" s="41">
        <v>46059</v>
      </c>
      <c r="B91" s="6">
        <v>2941.6</v>
      </c>
      <c r="C91" s="6">
        <v>1450.8</v>
      </c>
      <c r="D91" s="6">
        <v>1507.1</v>
      </c>
      <c r="E91" s="6">
        <v>941.1</v>
      </c>
    </row>
    <row r="92" spans="1:5" x14ac:dyDescent="0.3">
      <c r="A92" s="41">
        <v>46062</v>
      </c>
      <c r="B92" s="7">
        <v>2948.2</v>
      </c>
      <c r="C92" s="7">
        <v>1461.6</v>
      </c>
      <c r="D92" s="7">
        <v>1497.2</v>
      </c>
      <c r="E92" s="7">
        <v>937.25</v>
      </c>
    </row>
    <row r="93" spans="1:5" x14ac:dyDescent="0.3">
      <c r="A93" s="41">
        <v>46063</v>
      </c>
      <c r="B93" s="6">
        <v>2984.6</v>
      </c>
      <c r="C93" s="6">
        <v>1458.5</v>
      </c>
      <c r="D93" s="6">
        <v>1497.8</v>
      </c>
      <c r="E93" s="6">
        <v>932.4</v>
      </c>
    </row>
    <row r="94" spans="1:5" x14ac:dyDescent="0.3">
      <c r="A94" s="41">
        <v>46064</v>
      </c>
      <c r="B94" s="7">
        <v>2909.8</v>
      </c>
      <c r="C94" s="7">
        <v>1468.7</v>
      </c>
      <c r="D94" s="7">
        <v>1471.9</v>
      </c>
      <c r="E94" s="7">
        <v>927.1</v>
      </c>
    </row>
    <row r="95" spans="1:5" x14ac:dyDescent="0.3">
      <c r="A95" s="41">
        <v>46065</v>
      </c>
      <c r="B95" s="6">
        <v>2750.1</v>
      </c>
      <c r="C95" s="6">
        <v>1448.9</v>
      </c>
      <c r="D95" s="6">
        <v>1386</v>
      </c>
      <c r="E95" s="6">
        <v>920.6</v>
      </c>
    </row>
    <row r="96" spans="1:5" x14ac:dyDescent="0.3">
      <c r="A96" s="41">
        <v>46066</v>
      </c>
      <c r="B96" s="7">
        <v>2692.2</v>
      </c>
      <c r="C96" s="7">
        <v>1419.6</v>
      </c>
      <c r="D96" s="7">
        <v>1369.1</v>
      </c>
      <c r="E96" s="7">
        <v>903.9</v>
      </c>
    </row>
    <row r="97" spans="1:5" x14ac:dyDescent="0.3">
      <c r="A97" s="41">
        <v>46069</v>
      </c>
      <c r="B97" s="6">
        <v>2706.6</v>
      </c>
      <c r="C97" s="6">
        <v>1437.1</v>
      </c>
      <c r="D97" s="6">
        <v>1365.6</v>
      </c>
      <c r="E97" s="6">
        <v>925.8</v>
      </c>
    </row>
    <row r="98" spans="1:5" x14ac:dyDescent="0.3">
      <c r="A98" s="41">
        <v>46070</v>
      </c>
      <c r="B98" s="7">
        <v>2717.4</v>
      </c>
      <c r="C98" s="7">
        <v>1423</v>
      </c>
      <c r="D98" s="7">
        <v>1391.2</v>
      </c>
      <c r="E98" s="7">
        <v>925.7</v>
      </c>
    </row>
    <row r="99" spans="1:5" x14ac:dyDescent="0.3">
      <c r="A99" s="41">
        <v>46071</v>
      </c>
      <c r="B99" s="6">
        <v>2694.9</v>
      </c>
      <c r="C99" s="6">
        <v>1441.3</v>
      </c>
      <c r="D99" s="6">
        <v>1373.7</v>
      </c>
      <c r="E99" s="6">
        <v>924.7</v>
      </c>
    </row>
    <row r="100" spans="1:5" x14ac:dyDescent="0.3">
      <c r="A100" s="41">
        <v>46072</v>
      </c>
      <c r="B100" s="7">
        <v>2677.9</v>
      </c>
      <c r="C100" s="7">
        <v>1409.5</v>
      </c>
      <c r="D100" s="7">
        <v>1370.5</v>
      </c>
      <c r="E100" s="7">
        <v>915.6</v>
      </c>
    </row>
    <row r="101" spans="1:5" x14ac:dyDescent="0.3">
      <c r="A101" s="41">
        <v>46073</v>
      </c>
      <c r="B101" s="6">
        <v>2686.2</v>
      </c>
      <c r="C101" s="6">
        <v>1419.4</v>
      </c>
      <c r="D101" s="6">
        <v>1353.2</v>
      </c>
      <c r="E101" s="6">
        <v>911.85</v>
      </c>
    </row>
    <row r="102" spans="1:5" x14ac:dyDescent="0.3">
      <c r="A102" s="41">
        <v>46076</v>
      </c>
      <c r="B102" s="7">
        <v>2676.3</v>
      </c>
      <c r="C102" s="7">
        <v>1428</v>
      </c>
      <c r="D102" s="7">
        <v>1327.5</v>
      </c>
      <c r="E102" s="7">
        <v>923.6</v>
      </c>
    </row>
    <row r="103" spans="1:5" x14ac:dyDescent="0.3">
      <c r="A103" s="41">
        <v>46077</v>
      </c>
      <c r="B103" s="6">
        <v>2573.6999999999998</v>
      </c>
      <c r="C103" s="6">
        <v>1428.8</v>
      </c>
      <c r="D103" s="6">
        <v>1275.5</v>
      </c>
      <c r="E103" s="6">
        <v>910.5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E103"/>
  <sheetViews>
    <sheetView showGridLines="0" zoomScaleNormal="100" workbookViewId="0">
      <pane ySplit="2" topLeftCell="A102" activePane="bottomLeft" state="frozen"/>
      <selection pane="bottomLeft" activeCell="B4" sqref="B4"/>
    </sheetView>
  </sheetViews>
  <sheetFormatPr defaultColWidth="8.6640625" defaultRowHeight="14.4" x14ac:dyDescent="0.3"/>
  <cols>
    <col min="1" max="1" width="14" customWidth="1"/>
    <col min="2" max="2" width="15" customWidth="1"/>
    <col min="3" max="3" width="16" customWidth="1"/>
    <col min="4" max="4" width="15" customWidth="1"/>
    <col min="5" max="5" width="16" customWidth="1"/>
  </cols>
  <sheetData>
    <row r="1" spans="1:5" ht="27.75" customHeight="1" x14ac:dyDescent="0.3">
      <c r="A1" s="4" t="s">
        <v>6</v>
      </c>
      <c r="B1" s="4"/>
      <c r="C1" s="4"/>
      <c r="D1" s="4"/>
      <c r="E1" s="4"/>
    </row>
    <row r="2" spans="1:5" ht="19.5" customHeight="1" x14ac:dyDescent="0.3">
      <c r="A2" s="5" t="s">
        <v>1</v>
      </c>
      <c r="B2" s="5" t="s">
        <v>7</v>
      </c>
      <c r="C2" s="5" t="s">
        <v>8</v>
      </c>
      <c r="D2" s="5" t="s">
        <v>9</v>
      </c>
      <c r="E2" s="5" t="s">
        <v>10</v>
      </c>
    </row>
    <row r="3" spans="1:5" x14ac:dyDescent="0.3">
      <c r="A3" s="8">
        <f>Data!A3</f>
        <v>45930</v>
      </c>
      <c r="B3" s="9" t="s">
        <v>11</v>
      </c>
      <c r="C3" s="9" t="s">
        <v>11</v>
      </c>
      <c r="D3" s="9" t="s">
        <v>11</v>
      </c>
      <c r="E3" s="9" t="s">
        <v>11</v>
      </c>
    </row>
    <row r="4" spans="1:5" x14ac:dyDescent="0.3">
      <c r="A4" s="10">
        <f>Data!A4</f>
        <v>45931</v>
      </c>
      <c r="B4" s="11">
        <f>(Data!B4-Data!B3)/Data!B3</f>
        <v>8.9322808475279479E-3</v>
      </c>
      <c r="C4" s="11">
        <f>(Data!C4-Data!C3)/Data!C3</f>
        <v>3.4457478005865435E-3</v>
      </c>
      <c r="D4" s="11">
        <f>(Data!D4-Data!D3)/Data!D3</f>
        <v>2.7743098904147593E-3</v>
      </c>
      <c r="E4" s="11">
        <f>(Data!E4-Data!E3)/Data!E3</f>
        <v>1.498422712933754E-2</v>
      </c>
    </row>
    <row r="5" spans="1:5" x14ac:dyDescent="0.3">
      <c r="A5" s="12">
        <f>Data!A5</f>
        <v>45933</v>
      </c>
      <c r="B5" s="13">
        <f>(Data!B5-Data!B4)/Data!B4</f>
        <v>-4.2207123738932564E-3</v>
      </c>
      <c r="C5" s="13">
        <f>(Data!C5-Data!C4)/Data!C4</f>
        <v>-3.8722875721487211E-3</v>
      </c>
      <c r="D5" s="13">
        <f>(Data!D5-Data!D4)/Data!D4</f>
        <v>5.5332687785306024E-4</v>
      </c>
      <c r="E5" s="13">
        <f>(Data!E5-Data!E4)/Data!E4</f>
        <v>-1.0360010360012716E-4</v>
      </c>
    </row>
    <row r="6" spans="1:5" x14ac:dyDescent="0.3">
      <c r="A6" s="10">
        <f>Data!A6</f>
        <v>45936</v>
      </c>
      <c r="B6" s="11">
        <f>(Data!B6-Data!B5)/Data!B5</f>
        <v>2.9808056790378717E-2</v>
      </c>
      <c r="C6" s="11">
        <f>(Data!C6-Data!C5)/Data!C5</f>
        <v>8.5081414111778698E-3</v>
      </c>
      <c r="D6" s="11">
        <f>(Data!D6-Data!D5)/Data!D5</f>
        <v>2.0323517212774846E-2</v>
      </c>
      <c r="E6" s="11">
        <f>(Data!E6-Data!E5)/Data!E5</f>
        <v>8.5996995285707589E-3</v>
      </c>
    </row>
    <row r="7" spans="1:5" x14ac:dyDescent="0.3">
      <c r="A7" s="12">
        <f>Data!A7</f>
        <v>45937</v>
      </c>
      <c r="B7" s="13">
        <f>(Data!B7-Data!B6)/Data!B6</f>
        <v>-4.9190202114844971E-3</v>
      </c>
      <c r="C7" s="13">
        <f>(Data!C7-Data!C6)/Data!C6</f>
        <v>7.1272727272726939E-3</v>
      </c>
      <c r="D7" s="13">
        <f>(Data!D7-Data!D6)/Data!D6</f>
        <v>-1.1856368563685637E-2</v>
      </c>
      <c r="E7" s="13">
        <f>(Data!E7-Data!E6)/Data!E6</f>
        <v>9.2968308593147607E-3</v>
      </c>
    </row>
    <row r="8" spans="1:5" x14ac:dyDescent="0.3">
      <c r="A8" s="10">
        <f>Data!A8</f>
        <v>45938</v>
      </c>
      <c r="B8" s="11">
        <f>(Data!B8-Data!B7)/Data!B7</f>
        <v>1.7991054914752665E-2</v>
      </c>
      <c r="C8" s="11">
        <f>(Data!C8-Data!C7)/Data!C7</f>
        <v>-1.2564991334488637E-2</v>
      </c>
      <c r="D8" s="11">
        <f>(Data!D8-Data!D7)/Data!D7</f>
        <v>2.5025711347274597E-2</v>
      </c>
      <c r="E8" s="11">
        <f>(Data!E8-Data!E7)/Data!E7</f>
        <v>-3.867684478371455E-3</v>
      </c>
    </row>
    <row r="9" spans="1:5" x14ac:dyDescent="0.3">
      <c r="A9" s="12">
        <f>Data!A9</f>
        <v>45939</v>
      </c>
      <c r="B9" s="13">
        <f>(Data!B9-Data!B8)/Data!B8</f>
        <v>1.1396670190274842E-2</v>
      </c>
      <c r="C9" s="13">
        <f>(Data!C9-Data!C8)/Data!C8</f>
        <v>7.6056750036564745E-3</v>
      </c>
      <c r="D9" s="13">
        <f>(Data!D9-Data!D8)/Data!D8</f>
        <v>9.5652173913043179E-3</v>
      </c>
      <c r="E9" s="13">
        <f>(Data!E9-Data!E8)/Data!E8</f>
        <v>-1.6348217022581206E-3</v>
      </c>
    </row>
    <row r="10" spans="1:5" x14ac:dyDescent="0.3">
      <c r="A10" s="10">
        <f>Data!A10</f>
        <v>45940</v>
      </c>
      <c r="B10" s="11">
        <f>(Data!B10-Data!B9)/Data!B9</f>
        <v>-1.0908972139660855E-2</v>
      </c>
      <c r="C10" s="11">
        <f>(Data!C10-Data!C9)/Data!C9</f>
        <v>2.8305995064596395E-3</v>
      </c>
      <c r="D10" s="11">
        <f>(Data!D10-Data!D9)/Data!D9</f>
        <v>3.7103292917247312E-3</v>
      </c>
      <c r="E10" s="11">
        <f>(Data!E10-Data!E9)/Data!E9</f>
        <v>3.8890594616722489E-3</v>
      </c>
    </row>
    <row r="11" spans="1:5" x14ac:dyDescent="0.3">
      <c r="A11" s="12">
        <f>Data!A11</f>
        <v>45943</v>
      </c>
      <c r="B11" s="13">
        <f>(Data!B11-Data!B10)/Data!B10</f>
        <v>-6.9676055872933207E-3</v>
      </c>
      <c r="C11" s="13">
        <f>(Data!C11-Data!C10)/Data!C10</f>
        <v>-4.8490989360932511E-3</v>
      </c>
      <c r="D11" s="13">
        <f>(Data!D11-Data!D10)/Data!D10</f>
        <v>-1.4324377846722585E-2</v>
      </c>
      <c r="E11" s="13">
        <f>(Data!E11-Data!E10)/Data!E10</f>
        <v>-3.9759404628402261E-3</v>
      </c>
    </row>
    <row r="12" spans="1:5" x14ac:dyDescent="0.3">
      <c r="A12" s="10">
        <f>Data!A12</f>
        <v>45944</v>
      </c>
      <c r="B12" s="11">
        <f>(Data!B12-Data!B11)/Data!B11</f>
        <v>-1.5595903165735447E-2</v>
      </c>
      <c r="C12" s="11">
        <f>(Data!C12-Data!C11)/Data!C11</f>
        <v>6.5454545454552066E-4</v>
      </c>
      <c r="D12" s="11">
        <f>(Data!D12-Data!D11)/Data!D11</f>
        <v>-2.2100187516742261E-3</v>
      </c>
      <c r="E12" s="11">
        <f>(Data!E12-Data!E11)/Data!E11</f>
        <v>1.5353121801430631E-4</v>
      </c>
    </row>
    <row r="13" spans="1:5" x14ac:dyDescent="0.3">
      <c r="A13" s="12">
        <f>Data!A13</f>
        <v>45945</v>
      </c>
      <c r="B13" s="13">
        <f>(Data!B13-Data!B12)/Data!B12</f>
        <v>3.2091342093706716E-3</v>
      </c>
      <c r="C13" s="13">
        <f>(Data!C13-Data!C12)/Data!C12</f>
        <v>-1.1628752089542381E-3</v>
      </c>
      <c r="D13" s="13">
        <f>(Data!D13-Data!D12)/Data!D12</f>
        <v>-1.0403382777367609E-2</v>
      </c>
      <c r="E13" s="13">
        <f>(Data!E13-Data!E12)/Data!E12</f>
        <v>1.1257227651844883E-3</v>
      </c>
    </row>
    <row r="14" spans="1:5" x14ac:dyDescent="0.3">
      <c r="A14" s="10">
        <f>Data!A14</f>
        <v>45946</v>
      </c>
      <c r="B14" s="11">
        <f>(Data!B14-Data!B13)/Data!B13</f>
        <v>3.0305071048543206E-4</v>
      </c>
      <c r="C14" s="11">
        <f>(Data!C14-Data!C13)/Data!C13</f>
        <v>1.7463435931019428E-2</v>
      </c>
      <c r="D14" s="11">
        <f>(Data!D14-Data!D13)/Data!D13</f>
        <v>-1.9669017905589331E-3</v>
      </c>
      <c r="E14" s="11">
        <f>(Data!E14-Data!E13)/Data!E13</f>
        <v>1.6457960644007178E-2</v>
      </c>
    </row>
    <row r="15" spans="1:5" x14ac:dyDescent="0.3">
      <c r="A15" s="12">
        <f>Data!A15</f>
        <v>45947</v>
      </c>
      <c r="B15" s="13">
        <f>(Data!B15-Data!B14)/Data!B14</f>
        <v>-2.8612784865519915E-3</v>
      </c>
      <c r="C15" s="13">
        <f>(Data!C15-Data!C14)/Data!C14</f>
        <v>1.3230351140670815E-2</v>
      </c>
      <c r="D15" s="13">
        <f>(Data!D15-Data!D14)/Data!D14</f>
        <v>-2.0659191301393199E-2</v>
      </c>
      <c r="E15" s="13">
        <f>(Data!E15-Data!E14)/Data!E14</f>
        <v>8.2465932518730137E-3</v>
      </c>
    </row>
    <row r="16" spans="1:5" x14ac:dyDescent="0.3">
      <c r="A16" s="10">
        <f>Data!A16</f>
        <v>45950</v>
      </c>
      <c r="B16" s="11">
        <f>(Data!B16-Data!B15)/Data!B15</f>
        <v>1.7892107217608536E-2</v>
      </c>
      <c r="C16" s="11">
        <f>(Data!C16-Data!C15)/Data!C15</f>
        <v>3.5290796160361376E-2</v>
      </c>
      <c r="D16" s="11">
        <f>(Data!D16-Data!D15)/Data!D15</f>
        <v>1.3739504545139256E-2</v>
      </c>
      <c r="E16" s="11">
        <f>(Data!E16-Data!E15)/Data!E15</f>
        <v>3.989825943844107E-4</v>
      </c>
    </row>
    <row r="17" spans="1:5" x14ac:dyDescent="0.3">
      <c r="A17" s="12">
        <f>Data!A17</f>
        <v>45951</v>
      </c>
      <c r="B17" s="13">
        <f>(Data!B17-Data!B16)/Data!B16</f>
        <v>-2.819050145927302E-3</v>
      </c>
      <c r="C17" s="13">
        <f>(Data!C17-Data!C16)/Data!C16</f>
        <v>-1.0908099263702679E-3</v>
      </c>
      <c r="D17" s="13">
        <f>(Data!D17-Data!D16)/Data!D16</f>
        <v>7.8718598124443828E-3</v>
      </c>
      <c r="E17" s="13">
        <f>(Data!E17-Data!E16)/Data!E16</f>
        <v>4.7360287152898948E-3</v>
      </c>
    </row>
    <row r="18" spans="1:5" x14ac:dyDescent="0.3">
      <c r="A18" s="10">
        <f>Data!A18</f>
        <v>45953</v>
      </c>
      <c r="B18" s="11">
        <f>(Data!B18-Data!B17)/Data!B17</f>
        <v>2.2117271427146042E-2</v>
      </c>
      <c r="C18" s="11">
        <f>(Data!C18-Data!C17)/Data!C17</f>
        <v>-1.1466011466011434E-2</v>
      </c>
      <c r="D18" s="11">
        <f>(Data!D18-Data!D17)/Data!D17</f>
        <v>3.8101059494702459E-2</v>
      </c>
      <c r="E18" s="11">
        <f>(Data!E18-Data!E17)/Data!E17</f>
        <v>1.091594720650897E-3</v>
      </c>
    </row>
    <row r="19" spans="1:5" x14ac:dyDescent="0.3">
      <c r="A19" s="12">
        <f>Data!A19</f>
        <v>45954</v>
      </c>
      <c r="B19" s="13">
        <f>(Data!B19-Data!B18)/Data!B18</f>
        <v>-3.2539372640895486E-3</v>
      </c>
      <c r="C19" s="13">
        <f>(Data!C19-Data!C18)/Data!C18</f>
        <v>2.2093344380004266E-3</v>
      </c>
      <c r="D19" s="13">
        <f>(Data!D19-Data!D18)/Data!D18</f>
        <v>-2.028132155708151E-3</v>
      </c>
      <c r="E19" s="13">
        <f>(Data!E19-Data!E18)/Data!E18</f>
        <v>-1.3927438540840558E-2</v>
      </c>
    </row>
    <row r="20" spans="1:5" x14ac:dyDescent="0.3">
      <c r="A20" s="10">
        <f>Data!A20</f>
        <v>45957</v>
      </c>
      <c r="B20" s="11">
        <f>(Data!B20-Data!B19)/Data!B19</f>
        <v>7.084095063985464E-3</v>
      </c>
      <c r="C20" s="11">
        <f>(Data!C20-Data!C19)/Data!C19</f>
        <v>2.2389087903003584E-2</v>
      </c>
      <c r="D20" s="11">
        <f>(Data!D20-Data!D19)/Data!D19</f>
        <v>-1.3701324242821614E-2</v>
      </c>
      <c r="E20" s="11">
        <f>(Data!E20-Data!E19)/Data!E19</f>
        <v>8.243277205328017E-3</v>
      </c>
    </row>
    <row r="21" spans="1:5" x14ac:dyDescent="0.3">
      <c r="A21" s="12">
        <f>Data!A21</f>
        <v>45958</v>
      </c>
      <c r="B21" s="13">
        <f>(Data!B21-Data!B20)/Data!B20</f>
        <v>-8.7523096372653895E-3</v>
      </c>
      <c r="C21" s="13">
        <f>(Data!C21-Data!C20)/Data!C20</f>
        <v>1.8866653190487044E-3</v>
      </c>
      <c r="D21" s="13">
        <f>(Data!D21-Data!D20)/Data!D20</f>
        <v>-2.8580923894981421E-3</v>
      </c>
      <c r="E21" s="13">
        <f>(Data!E21-Data!E20)/Data!E20</f>
        <v>5.9823520614179072E-4</v>
      </c>
    </row>
    <row r="22" spans="1:5" x14ac:dyDescent="0.3">
      <c r="A22" s="10">
        <f>Data!A22</f>
        <v>45959</v>
      </c>
      <c r="B22" s="11">
        <f>(Data!B22-Data!B21)/Data!B21</f>
        <v>-9.8106543706524707E-5</v>
      </c>
      <c r="C22" s="11">
        <f>(Data!C22-Data!C21)/Data!C21</f>
        <v>1.1634945187974951E-2</v>
      </c>
      <c r="D22" s="11">
        <f>(Data!D22-Data!D21)/Data!D21</f>
        <v>6.7990934542061362E-3</v>
      </c>
      <c r="E22" s="11">
        <f>(Data!E22-Data!E21)/Data!E21</f>
        <v>4.2847889990534288E-3</v>
      </c>
    </row>
    <row r="23" spans="1:5" x14ac:dyDescent="0.3">
      <c r="A23" s="12">
        <f>Data!A23</f>
        <v>45960</v>
      </c>
      <c r="B23" s="13">
        <f>(Data!B23-Data!B22)/Data!B22</f>
        <v>-7.29330193615899E-3</v>
      </c>
      <c r="C23" s="13">
        <f>(Data!C23-Data!C22)/Data!C22</f>
        <v>-1.0437441829543974E-2</v>
      </c>
      <c r="D23" s="13">
        <f>(Data!D23-Data!D22)/Data!D22</f>
        <v>-1.0990466101695006E-2</v>
      </c>
      <c r="E23" s="13">
        <f>(Data!E23-Data!E22)/Data!E22</f>
        <v>-9.6244480825520128E-3</v>
      </c>
    </row>
    <row r="24" spans="1:5" x14ac:dyDescent="0.3">
      <c r="A24" s="10">
        <f>Data!A24</f>
        <v>45961</v>
      </c>
      <c r="B24" s="11">
        <f>(Data!B24-Data!B23)/Data!B23</f>
        <v>7.4786676770005655E-3</v>
      </c>
      <c r="C24" s="11">
        <f>(Data!C24-Data!C23)/Data!C23</f>
        <v>-1.410816257977769E-3</v>
      </c>
      <c r="D24" s="11">
        <f>(Data!D24-Data!D23)/Data!D23</f>
        <v>-7.6984870799303795E-3</v>
      </c>
      <c r="E24" s="11">
        <f>(Data!E24-Data!E23)/Data!E23</f>
        <v>-1.0870109702950482E-2</v>
      </c>
    </row>
    <row r="25" spans="1:5" x14ac:dyDescent="0.3">
      <c r="A25" s="12">
        <f>Data!A25</f>
        <v>45964</v>
      </c>
      <c r="B25" s="13">
        <f>(Data!B25-Data!B24)/Data!B24</f>
        <v>-1.3472858077174564E-2</v>
      </c>
      <c r="C25" s="13">
        <f>(Data!C25-Data!C24)/Data!C24</f>
        <v>-1.1437029063509454E-3</v>
      </c>
      <c r="D25" s="13">
        <f>(Data!D25-Data!D24)/Data!D24</f>
        <v>2.1588072589894393E-3</v>
      </c>
      <c r="E25" s="13">
        <f>(Data!E25-Data!E24)/Data!E24</f>
        <v>5.4188190013167454E-3</v>
      </c>
    </row>
    <row r="26" spans="1:5" x14ac:dyDescent="0.3">
      <c r="A26" s="10">
        <f>Data!A26</f>
        <v>45965</v>
      </c>
      <c r="B26" s="11">
        <f>(Data!B26-Data!B25)/Data!B25</f>
        <v>-8.8172898435429463E-3</v>
      </c>
      <c r="C26" s="11">
        <f>(Data!C26-Data!C25)/Data!C25</f>
        <v>-7.8130262005793333E-3</v>
      </c>
      <c r="D26" s="11">
        <f>(Data!D26-Data!D25)/Data!D25</f>
        <v>-1.184786267250078E-2</v>
      </c>
      <c r="E26" s="11">
        <f>(Data!E26-Data!E25)/Data!E25</f>
        <v>-7.4547927265400469E-3</v>
      </c>
    </row>
    <row r="27" spans="1:5" x14ac:dyDescent="0.3">
      <c r="A27" s="12">
        <f>Data!A27</f>
        <v>45967</v>
      </c>
      <c r="B27" s="13">
        <f>(Data!B27-Data!B26)/Data!B26</f>
        <v>6.9226138719818992E-3</v>
      </c>
      <c r="C27" s="13">
        <f>(Data!C27-Data!C26)/Data!C26</f>
        <v>1.5613332428212614E-2</v>
      </c>
      <c r="D27" s="13">
        <f>(Data!D27-Data!D26)/Data!D26</f>
        <v>-8.1749437972617031E-4</v>
      </c>
      <c r="E27" s="13">
        <f>(Data!E27-Data!E26)/Data!E26</f>
        <v>-6.0898249175338518E-4</v>
      </c>
    </row>
    <row r="28" spans="1:5" x14ac:dyDescent="0.3">
      <c r="A28" s="10">
        <f>Data!A28</f>
        <v>45968</v>
      </c>
      <c r="B28" s="11">
        <f>(Data!B28-Data!B27)/Data!B27</f>
        <v>-6.3436181872529506E-3</v>
      </c>
      <c r="C28" s="11">
        <f>(Data!C28-Data!C27)/Data!C27</f>
        <v>-1.2098121783303195E-2</v>
      </c>
      <c r="D28" s="11">
        <f>(Data!D28-Data!D27)/Data!D27</f>
        <v>6.8862071316560369E-3</v>
      </c>
      <c r="E28" s="11">
        <f>(Data!E28-Data!E27)/Data!E27</f>
        <v>-2.3866348448687582E-3</v>
      </c>
    </row>
    <row r="29" spans="1:5" x14ac:dyDescent="0.3">
      <c r="A29" s="12">
        <f>Data!A29</f>
        <v>45971</v>
      </c>
      <c r="B29" s="13">
        <f>(Data!B29-Data!B28)/Data!B28</f>
        <v>1.1163847850792044E-2</v>
      </c>
      <c r="C29" s="13">
        <f>(Data!C29-Data!C28)/Data!C28</f>
        <v>7.6454668470906321E-3</v>
      </c>
      <c r="D29" s="13">
        <f>(Data!D29-Data!D28)/Data!D28</f>
        <v>2.4851029252437734E-2</v>
      </c>
      <c r="E29" s="13">
        <f>(Data!E29-Data!E28)/Data!E28</f>
        <v>2.2396416573348728E-3</v>
      </c>
    </row>
    <row r="30" spans="1:5" x14ac:dyDescent="0.3">
      <c r="A30" s="10">
        <f>Data!A30</f>
        <v>45972</v>
      </c>
      <c r="B30" s="11">
        <f>(Data!B30-Data!B29)/Data!B29</f>
        <v>7.2061351315616104E-3</v>
      </c>
      <c r="C30" s="11">
        <f>(Data!C30-Data!C29)/Data!C29</f>
        <v>2.7529711945210077E-3</v>
      </c>
      <c r="D30" s="11">
        <f>(Data!D30-Data!D29)/Data!D29</f>
        <v>1.1100099108027721E-2</v>
      </c>
      <c r="E30" s="11">
        <f>(Data!E30-Data!E29)/Data!E29</f>
        <v>7.3133570340274713E-3</v>
      </c>
    </row>
    <row r="31" spans="1:5" x14ac:dyDescent="0.3">
      <c r="A31" s="12">
        <f>Data!A31</f>
        <v>45973</v>
      </c>
      <c r="B31" s="13">
        <f>(Data!B31-Data!B30)/Data!B30</f>
        <v>2.7830653101411282E-2</v>
      </c>
      <c r="C31" s="13">
        <f>(Data!C31-Data!C30)/Data!C30</f>
        <v>1.2119994643096229E-2</v>
      </c>
      <c r="D31" s="13">
        <f>(Data!D31-Data!D30)/Data!D30</f>
        <v>1.3984186107299281E-2</v>
      </c>
      <c r="E31" s="13">
        <f>(Data!E31-Data!E30)/Data!E30</f>
        <v>-2.2184128264596606E-3</v>
      </c>
    </row>
    <row r="32" spans="1:5" x14ac:dyDescent="0.3">
      <c r="A32" s="10">
        <f>Data!A32</f>
        <v>45974</v>
      </c>
      <c r="B32" s="11">
        <f>(Data!B32-Data!B31)/Data!B31</f>
        <v>-8.3338655086532872E-3</v>
      </c>
      <c r="C32" s="11">
        <f>(Data!C32-Data!C31)/Data!C31</f>
        <v>-3.9695666556394907E-4</v>
      </c>
      <c r="D32" s="11">
        <f>(Data!D32-Data!D31)/Data!D31</f>
        <v>-6.3800992459883297E-3</v>
      </c>
      <c r="E32" s="11">
        <f>(Data!E32-Data!E31)/Data!E31</f>
        <v>-2.8802425467408009E-3</v>
      </c>
    </row>
    <row r="33" spans="1:5" x14ac:dyDescent="0.3">
      <c r="A33" s="12">
        <f>Data!A33</f>
        <v>45975</v>
      </c>
      <c r="B33" s="13">
        <f>(Data!B33-Data!B32)/Data!B32</f>
        <v>9.6596580481109545E-5</v>
      </c>
      <c r="C33" s="13">
        <f>(Data!C33-Data!C32)/Data!C32</f>
        <v>5.2948573697796011E-3</v>
      </c>
      <c r="D33" s="13">
        <f>(Data!D33-Data!D32)/Data!D32</f>
        <v>-2.5295109612141653E-2</v>
      </c>
      <c r="E33" s="13">
        <f>(Data!E33-Data!E32)/Data!E32</f>
        <v>2.9899153701921101E-3</v>
      </c>
    </row>
    <row r="34" spans="1:5" x14ac:dyDescent="0.3">
      <c r="A34" s="10">
        <f>Data!A34</f>
        <v>45978</v>
      </c>
      <c r="B34" s="11">
        <f>(Data!B34-Data!B33)/Data!B33</f>
        <v>-1.2234385061172511E-3</v>
      </c>
      <c r="C34" s="11">
        <f>(Data!C34-Data!C33)/Data!C33</f>
        <v>-3.9502271380613364E-4</v>
      </c>
      <c r="D34" s="11">
        <f>(Data!D34-Data!D33)/Data!D33</f>
        <v>3.1940377961138904E-3</v>
      </c>
      <c r="E34" s="11">
        <f>(Data!E34-Data!E33)/Data!E33</f>
        <v>7.0230396119643611E-3</v>
      </c>
    </row>
    <row r="35" spans="1:5" x14ac:dyDescent="0.3">
      <c r="A35" s="12">
        <f>Data!A35</f>
        <v>45979</v>
      </c>
      <c r="B35" s="13">
        <f>(Data!B35-Data!B34)/Data!B34</f>
        <v>-4.8675133776029623E-3</v>
      </c>
      <c r="C35" s="13">
        <f>(Data!C35-Data!C34)/Data!C34</f>
        <v>7.244945004282003E-4</v>
      </c>
      <c r="D35" s="13">
        <f>(Data!D35-Data!D34)/Data!D34</f>
        <v>-1.4062085433801949E-2</v>
      </c>
      <c r="E35" s="13">
        <f>(Data!E35-Data!E34)/Data!E34</f>
        <v>-4.1141939691936276E-3</v>
      </c>
    </row>
    <row r="36" spans="1:5" x14ac:dyDescent="0.3">
      <c r="A36" s="10">
        <f>Data!A36</f>
        <v>45980</v>
      </c>
      <c r="B36" s="11">
        <f>(Data!B36-Data!B35)/Data!B35</f>
        <v>1.9630073531793565E-2</v>
      </c>
      <c r="C36" s="11">
        <f>(Data!C36-Data!C35)/Data!C35</f>
        <v>-3.2907726734237198E-4</v>
      </c>
      <c r="D36" s="11">
        <f>(Data!D36-Data!D35)/Data!D35</f>
        <v>3.6800322927879318E-2</v>
      </c>
      <c r="E36" s="11">
        <f>(Data!E36-Data!E35)/Data!E35</f>
        <v>2.1663559877071661E-3</v>
      </c>
    </row>
    <row r="37" spans="1:5" x14ac:dyDescent="0.3">
      <c r="A37" s="12">
        <f>Data!A37</f>
        <v>45981</v>
      </c>
      <c r="B37" s="13">
        <f>(Data!B37-Data!B36)/Data!B36</f>
        <v>-9.2130762143775977E-4</v>
      </c>
      <c r="C37" s="13">
        <f>(Data!C37-Data!C36)/Data!C36</f>
        <v>1.9882809928237419E-2</v>
      </c>
      <c r="D37" s="13">
        <f>(Data!D37-Data!D36)/Data!D36</f>
        <v>-2.9848809292063521E-3</v>
      </c>
      <c r="E37" s="13">
        <f>(Data!E37-Data!E36)/Data!E36</f>
        <v>1.4327367786044641E-2</v>
      </c>
    </row>
    <row r="38" spans="1:5" x14ac:dyDescent="0.3">
      <c r="A38" s="10">
        <f>Data!A38</f>
        <v>45982</v>
      </c>
      <c r="B38" s="11">
        <f>(Data!B38-Data!B37)/Data!B37</f>
        <v>1.8443144238106484E-3</v>
      </c>
      <c r="C38" s="11">
        <f>(Data!C38-Data!C37)/Data!C37</f>
        <v>-1.6138402943644697E-3</v>
      </c>
      <c r="D38" s="11">
        <f>(Data!D38-Data!D37)/Data!D37</f>
        <v>5.5320533680442568E-3</v>
      </c>
      <c r="E38" s="11">
        <f>(Data!E38-Data!E37)/Data!E37</f>
        <v>-1.0705258462606004E-2</v>
      </c>
    </row>
    <row r="39" spans="1:5" x14ac:dyDescent="0.3">
      <c r="A39" s="12">
        <f>Data!A39</f>
        <v>45985</v>
      </c>
      <c r="B39" s="13">
        <f>(Data!B39-Data!B38)/Data!B38</f>
        <v>-2.9835586872342065E-3</v>
      </c>
      <c r="C39" s="13">
        <f>(Data!C39-Data!C38)/Data!C38</f>
        <v>-6.9184016552436434E-3</v>
      </c>
      <c r="D39" s="13">
        <f>(Data!D39-Data!D38)/Data!D38</f>
        <v>1.9417475728155339E-3</v>
      </c>
      <c r="E39" s="13">
        <f>(Data!E39-Data!E38)/Data!E38</f>
        <v>1.1021491909223213E-3</v>
      </c>
    </row>
    <row r="40" spans="1:5" x14ac:dyDescent="0.3">
      <c r="A40" s="10">
        <f>Data!A40</f>
        <v>45986</v>
      </c>
      <c r="B40" s="11">
        <f>(Data!B40-Data!B39)/Data!B39</f>
        <v>-7.0036928562332871E-3</v>
      </c>
      <c r="C40" s="11">
        <f>(Data!C40-Data!C39)/Data!C39</f>
        <v>2.4741194088156483E-3</v>
      </c>
      <c r="D40" s="11">
        <f>(Data!D40-Data!D39)/Data!D39</f>
        <v>-1.1240310077519439E-2</v>
      </c>
      <c r="E40" s="11">
        <f>(Data!E40-Data!E39)/Data!E39</f>
        <v>-9.3579542611219764E-3</v>
      </c>
    </row>
    <row r="41" spans="1:5" x14ac:dyDescent="0.3">
      <c r="A41" s="12">
        <f>Data!A41</f>
        <v>45987</v>
      </c>
      <c r="B41" s="13">
        <f>(Data!B41-Data!B40)/Data!B40</f>
        <v>1.4010002564760283E-2</v>
      </c>
      <c r="C41" s="13">
        <f>(Data!C41-Data!C40)/Data!C40</f>
        <v>1.9614210560498828E-2</v>
      </c>
      <c r="D41" s="13">
        <f>(Data!D41-Data!D40)/Data!D40</f>
        <v>1.7836142689141632E-2</v>
      </c>
      <c r="E41" s="13">
        <f>(Data!E41-Data!E40)/Data!E40</f>
        <v>1.4245302081228555E-2</v>
      </c>
    </row>
    <row r="42" spans="1:5" x14ac:dyDescent="0.3">
      <c r="A42" s="10">
        <f>Data!A42</f>
        <v>45988</v>
      </c>
      <c r="B42" s="11">
        <f>(Data!B42-Data!B41)/Data!B41</f>
        <v>-8.3151538145373495E-3</v>
      </c>
      <c r="C42" s="11">
        <f>(Data!C42-Data!C41)/Data!C41</f>
        <v>-4.1403911077138667E-3</v>
      </c>
      <c r="D42" s="11">
        <f>(Data!D42-Data!D41)/Data!D41</f>
        <v>5.4560626484369979E-3</v>
      </c>
      <c r="E42" s="11">
        <f>(Data!E42-Data!E41)/Data!E41</f>
        <v>5.5782448451041165E-3</v>
      </c>
    </row>
    <row r="43" spans="1:5" x14ac:dyDescent="0.3">
      <c r="A43" s="12">
        <f>Data!A43</f>
        <v>45989</v>
      </c>
      <c r="B43" s="13">
        <f>(Data!B43-Data!B42)/Data!B42</f>
        <v>2.869348976599155E-4</v>
      </c>
      <c r="C43" s="13">
        <f>(Data!C43-Data!C42)/Data!C42</f>
        <v>2.6224894460790001E-3</v>
      </c>
      <c r="D43" s="13">
        <f>(Data!D43-Data!D42)/Data!D42</f>
        <v>-4.0219611848826492E-3</v>
      </c>
      <c r="E43" s="13">
        <f>(Data!E43-Data!E42)/Data!E42</f>
        <v>-1.8821198613174614E-3</v>
      </c>
    </row>
    <row r="44" spans="1:5" x14ac:dyDescent="0.3">
      <c r="A44" s="10">
        <f>Data!A44</f>
        <v>45992</v>
      </c>
      <c r="B44" s="11">
        <f>(Data!B44-Data!B43)/Data!B43</f>
        <v>-1.3067729083665049E-3</v>
      </c>
      <c r="C44" s="11">
        <f>(Data!C44-Data!C43)/Data!C43</f>
        <v>-8.9314194577358279E-4</v>
      </c>
      <c r="D44" s="11">
        <f>(Data!D44-Data!D43)/Data!D43</f>
        <v>2.4998397538619904E-3</v>
      </c>
      <c r="E44" s="11">
        <f>(Data!E44-Data!E43)/Data!E43</f>
        <v>-5.4585152838427945E-3</v>
      </c>
    </row>
    <row r="45" spans="1:5" x14ac:dyDescent="0.3">
      <c r="A45" s="12">
        <f>Data!A45</f>
        <v>45993</v>
      </c>
      <c r="B45" s="13">
        <f>(Data!B45-Data!B44)/Data!B44</f>
        <v>7.3402693559702784E-4</v>
      </c>
      <c r="C45" s="13">
        <f>(Data!C45-Data!C44)/Data!C44</f>
        <v>-1.2642870825617748E-2</v>
      </c>
      <c r="D45" s="13">
        <f>(Data!D45-Data!D44)/Data!D44</f>
        <v>-1.9181585677749361E-3</v>
      </c>
      <c r="E45" s="13">
        <f>(Data!E45-Data!E44)/Data!E44</f>
        <v>-1.2274224129328479E-2</v>
      </c>
    </row>
    <row r="46" spans="1:5" x14ac:dyDescent="0.3">
      <c r="A46" s="10">
        <f>Data!A46</f>
        <v>45994</v>
      </c>
      <c r="B46" s="11">
        <f>(Data!B46-Data!B45)/Data!B45</f>
        <v>1.4127627005134478E-2</v>
      </c>
      <c r="C46" s="11">
        <f>(Data!C46-Data!C45)/Data!C45</f>
        <v>-4.8502877837418353E-3</v>
      </c>
      <c r="D46" s="11">
        <f>(Data!D46-Data!D45)/Data!D45</f>
        <v>1.1338885329916748E-2</v>
      </c>
      <c r="E46" s="11">
        <f>(Data!E46-Data!E45)/Data!E45</f>
        <v>1.0810264699939428E-2</v>
      </c>
    </row>
    <row r="47" spans="1:5" x14ac:dyDescent="0.3">
      <c r="A47" s="12">
        <f>Data!A47</f>
        <v>45995</v>
      </c>
      <c r="B47" s="13">
        <f>(Data!B47-Data!B46)/Data!B46</f>
        <v>1.5471698113207489E-2</v>
      </c>
      <c r="C47" s="13">
        <f>(Data!C47-Data!C46)/Data!C46</f>
        <v>-2.0795425006498868E-3</v>
      </c>
      <c r="D47" s="13">
        <f>(Data!D47-Data!D46)/Data!D46</f>
        <v>1.1971875593842949E-2</v>
      </c>
      <c r="E47" s="13">
        <f>(Data!E47-Data!E46)/Data!E46</f>
        <v>-3.2983508245876605E-3</v>
      </c>
    </row>
    <row r="48" spans="1:5" x14ac:dyDescent="0.3">
      <c r="A48" s="10">
        <f>Data!A48</f>
        <v>45996</v>
      </c>
      <c r="B48" s="11">
        <f>(Data!B48-Data!B47)/Data!B47</f>
        <v>2.787068004459309E-3</v>
      </c>
      <c r="C48" s="11">
        <f>(Data!C48-Data!C47)/Data!C47</f>
        <v>3.2560562646522535E-3</v>
      </c>
      <c r="D48" s="11">
        <f>(Data!D48-Data!D47)/Data!D47</f>
        <v>1.1642463695543401E-2</v>
      </c>
      <c r="E48" s="11">
        <f>(Data!E48-Data!E47)/Data!E47</f>
        <v>6.1171279582831013E-3</v>
      </c>
    </row>
    <row r="49" spans="1:5" x14ac:dyDescent="0.3">
      <c r="A49" s="12">
        <f>Data!A49</f>
        <v>45999</v>
      </c>
      <c r="B49" s="13">
        <f>(Data!B49-Data!B48)/Data!B48</f>
        <v>-5.2498301525533261E-4</v>
      </c>
      <c r="C49" s="13">
        <f>(Data!C49-Data!C48)/Data!C48</f>
        <v>1.5578346098923089E-3</v>
      </c>
      <c r="D49" s="13">
        <f>(Data!D49-Data!D48)/Data!D48</f>
        <v>-3.3411706471971852E-3</v>
      </c>
      <c r="E49" s="13">
        <f>(Data!E49-Data!E48)/Data!E48</f>
        <v>-1.9934217083617241E-4</v>
      </c>
    </row>
    <row r="50" spans="1:5" x14ac:dyDescent="0.3">
      <c r="A50" s="10">
        <f>Data!A50</f>
        <v>46000</v>
      </c>
      <c r="B50" s="11">
        <f>(Data!B50-Data!B49)/Data!B49</f>
        <v>-8.7131160203923422E-3</v>
      </c>
      <c r="C50" s="11">
        <f>(Data!C50-Data!C49)/Data!C49</f>
        <v>-8.8139987038236608E-3</v>
      </c>
      <c r="D50" s="11">
        <f>(Data!D50-Data!D49)/Data!D49</f>
        <v>-7.3255525204866867E-3</v>
      </c>
      <c r="E50" s="11">
        <f>(Data!E50-Data!E49)/Data!E49</f>
        <v>-5.9814574818064003E-3</v>
      </c>
    </row>
    <row r="51" spans="1:5" x14ac:dyDescent="0.3">
      <c r="A51" s="12">
        <f>Data!A51</f>
        <v>46001</v>
      </c>
      <c r="B51" s="13">
        <f>(Data!B51-Data!B50)/Data!B50</f>
        <v>-5.9533086058038099E-3</v>
      </c>
      <c r="C51" s="13">
        <f>(Data!C51-Data!C50)/Data!C50</f>
        <v>4.903883876029815E-3</v>
      </c>
      <c r="D51" s="13">
        <f>(Data!D51-Data!D50)/Data!D50</f>
        <v>-8.8805503439650067E-3</v>
      </c>
      <c r="E51" s="13">
        <f>(Data!E51-Data!E50)/Data!E50</f>
        <v>-7.3212315715575852E-3</v>
      </c>
    </row>
    <row r="52" spans="1:5" x14ac:dyDescent="0.3">
      <c r="A52" s="10">
        <f>Data!A52</f>
        <v>46002</v>
      </c>
      <c r="B52" s="11">
        <f>(Data!B52-Data!B51)/Data!B51</f>
        <v>8.4660729963635802E-4</v>
      </c>
      <c r="C52" s="11">
        <f>(Data!C52-Data!C51)/Data!C51</f>
        <v>5.2703494046456561E-3</v>
      </c>
      <c r="D52" s="11">
        <f>(Data!D52-Data!D51)/Data!D51</f>
        <v>8.3291267036850365E-3</v>
      </c>
      <c r="E52" s="11">
        <f>(Data!E52-Data!E51)/Data!E51</f>
        <v>1.0608203677510608E-2</v>
      </c>
    </row>
    <row r="53" spans="1:5" x14ac:dyDescent="0.3">
      <c r="A53" s="12">
        <f>Data!A53</f>
        <v>46003</v>
      </c>
      <c r="B53" s="13">
        <f>(Data!B53-Data!B52)/Data!B52</f>
        <v>8.9601804567811996E-3</v>
      </c>
      <c r="C53" s="13">
        <f>(Data!C53-Data!C52)/Data!C52</f>
        <v>7.4433656957928803E-3</v>
      </c>
      <c r="D53" s="13">
        <f>(Data!D53-Data!D52)/Data!D52</f>
        <v>1.2515644555697464E-4</v>
      </c>
      <c r="E53" s="13">
        <f>(Data!E53-Data!E52)/Data!E52</f>
        <v>1.1996401079676553E-3</v>
      </c>
    </row>
    <row r="54" spans="1:5" x14ac:dyDescent="0.3">
      <c r="A54" s="10">
        <f>Data!A54</f>
        <v>46006</v>
      </c>
      <c r="B54" s="11">
        <f>(Data!B54-Data!B53)/Data!B53</f>
        <v>3.0119546654245669E-3</v>
      </c>
      <c r="C54" s="11">
        <f>(Data!C54-Data!C53)/Data!C53</f>
        <v>-1.9274012206871476E-4</v>
      </c>
      <c r="D54" s="11">
        <f>(Data!D54-Data!D53)/Data!D53</f>
        <v>5.3810536853960136E-3</v>
      </c>
      <c r="E54" s="11">
        <f>(Data!E54-Data!E53)/Data!E53</f>
        <v>-5.3919121318022735E-3</v>
      </c>
    </row>
    <row r="55" spans="1:5" x14ac:dyDescent="0.3">
      <c r="A55" s="12">
        <f>Data!A55</f>
        <v>46007</v>
      </c>
      <c r="B55" s="13">
        <f>(Data!B55-Data!B54)/Data!B54</f>
        <v>-7.7704166924648351E-3</v>
      </c>
      <c r="C55" s="13">
        <f>(Data!C55-Data!C54)/Data!C54</f>
        <v>-8.9320138799640729E-3</v>
      </c>
      <c r="D55" s="13">
        <f>(Data!D55-Data!D54)/Data!D54</f>
        <v>-8.6507343788896334E-3</v>
      </c>
      <c r="E55" s="13">
        <f>(Data!E55-Data!E54)/Data!E54</f>
        <v>-1.8070474851923182E-3</v>
      </c>
    </row>
    <row r="56" spans="1:5" x14ac:dyDescent="0.3">
      <c r="A56" s="10">
        <f>Data!A56</f>
        <v>46008</v>
      </c>
      <c r="B56" s="11">
        <f>(Data!B56-Data!B55)/Data!B55</f>
        <v>3.9624348694269366E-3</v>
      </c>
      <c r="C56" s="11">
        <f>(Data!C56-Data!C55)/Data!C55</f>
        <v>1.3616028010115648E-3</v>
      </c>
      <c r="D56" s="11">
        <f>(Data!D56-Data!D55)/Data!D55</f>
        <v>5.712850775315405E-3</v>
      </c>
      <c r="E56" s="11">
        <f>(Data!E56-Data!E55)/Data!E55</f>
        <v>-1.0359046565422865E-2</v>
      </c>
    </row>
    <row r="57" spans="1:5" x14ac:dyDescent="0.3">
      <c r="A57" s="12">
        <f>Data!A57</f>
        <v>46009</v>
      </c>
      <c r="B57" s="13">
        <f>(Data!B57-Data!B56)/Data!B56</f>
        <v>1.9578594070482937E-2</v>
      </c>
      <c r="C57" s="13">
        <f>(Data!C57-Data!C56)/Data!C56</f>
        <v>0</v>
      </c>
      <c r="D57" s="13">
        <f>(Data!D57-Data!D56)/Data!D56</f>
        <v>1.5480649188514328E-2</v>
      </c>
      <c r="E57" s="13">
        <f>(Data!E57-Data!E56)/Data!E56</f>
        <v>-4.3699186991869457E-3</v>
      </c>
    </row>
    <row r="58" spans="1:5" x14ac:dyDescent="0.3">
      <c r="A58" s="10">
        <f>Data!A58</f>
        <v>46010</v>
      </c>
      <c r="B58" s="11">
        <f>(Data!B58-Data!B57)/Data!B57</f>
        <v>3.6576444769562854E-4</v>
      </c>
      <c r="C58" s="11">
        <f>(Data!C58-Data!C57)/Data!C57</f>
        <v>1.3403263403263284E-2</v>
      </c>
      <c r="D58" s="11">
        <f>(Data!D58-Data!D57)/Data!D57</f>
        <v>7.3149741824441181E-3</v>
      </c>
      <c r="E58" s="11">
        <f>(Data!E58-Data!E57)/Data!E57</f>
        <v>5.9201796468306154E-3</v>
      </c>
    </row>
    <row r="59" spans="1:5" x14ac:dyDescent="0.3">
      <c r="A59" s="12">
        <f>Data!A59</f>
        <v>46013</v>
      </c>
      <c r="B59" s="13">
        <f>(Data!B59-Data!B58)/Data!B58</f>
        <v>1.3071297989031106E-2</v>
      </c>
      <c r="C59" s="13">
        <f>(Data!C59-Data!C58)/Data!C58</f>
        <v>6.5810491342407403E-3</v>
      </c>
      <c r="D59" s="13">
        <f>(Data!D59-Data!D58)/Data!D58</f>
        <v>3.1061207054372285E-2</v>
      </c>
      <c r="E59" s="13">
        <f>(Data!E59-Data!E58)/Data!E58</f>
        <v>2.2323693556570729E-3</v>
      </c>
    </row>
    <row r="60" spans="1:5" x14ac:dyDescent="0.3">
      <c r="A60" s="10">
        <f>Data!A60</f>
        <v>46014</v>
      </c>
      <c r="B60" s="11">
        <f>(Data!B60-Data!B59)/Data!B59</f>
        <v>-4.4813377845950523E-3</v>
      </c>
      <c r="C60" s="11">
        <f>(Data!C60-Data!C59)/Data!C59</f>
        <v>-2.983369303034179E-3</v>
      </c>
      <c r="D60" s="11">
        <f>(Data!D60-Data!D59)/Data!D59</f>
        <v>-1.2606534090909064E-2</v>
      </c>
      <c r="E60" s="11">
        <f>(Data!E60-Data!E59)/Data!E59</f>
        <v>9.0108332489622113E-3</v>
      </c>
    </row>
    <row r="61" spans="1:5" x14ac:dyDescent="0.3">
      <c r="A61" s="12">
        <f>Data!A61</f>
        <v>46015</v>
      </c>
      <c r="B61" s="13">
        <f>(Data!B61-Data!B60)/Data!B60</f>
        <v>2.7190332326283988E-3</v>
      </c>
      <c r="C61" s="13">
        <f>(Data!C61-Data!C60)/Data!C60</f>
        <v>-7.958235181766091E-3</v>
      </c>
      <c r="D61" s="13">
        <f>(Data!D61-Data!D60)/Data!D60</f>
        <v>-2.9371216208115229E-3</v>
      </c>
      <c r="E61" s="13">
        <f>(Data!E61-Data!E60)/Data!E60</f>
        <v>6.0204695966287647E-4</v>
      </c>
    </row>
    <row r="62" spans="1:5" x14ac:dyDescent="0.3">
      <c r="A62" s="10">
        <f>Data!A62</f>
        <v>46017</v>
      </c>
      <c r="B62" s="11">
        <f>(Data!B62-Data!B61)/Data!B61</f>
        <v>-1.1750527267249171E-2</v>
      </c>
      <c r="C62" s="11">
        <f>(Data!C62-Data!C61)/Data!C61</f>
        <v>6.4176614041843154E-4</v>
      </c>
      <c r="D62" s="11">
        <f>(Data!D62-Data!D61)/Data!D61</f>
        <v>-4.3886016592522437E-3</v>
      </c>
      <c r="E62" s="11">
        <f>(Data!E62-Data!E61)/Data!E61</f>
        <v>-5.1143200962695777E-3</v>
      </c>
    </row>
    <row r="63" spans="1:5" x14ac:dyDescent="0.3">
      <c r="A63" s="12">
        <f>Data!A63</f>
        <v>46020</v>
      </c>
      <c r="B63" s="13">
        <f>(Data!B63-Data!B62)/Data!B62</f>
        <v>-8.6890243902439032E-3</v>
      </c>
      <c r="C63" s="13">
        <f>(Data!C63-Data!C62)/Data!C62</f>
        <v>-8.7224217547461104E-3</v>
      </c>
      <c r="D63" s="13">
        <f>(Data!D63-Data!D62)/Data!D62</f>
        <v>-6.8836422921320353E-3</v>
      </c>
      <c r="E63" s="13">
        <f>(Data!E63-Data!E62)/Data!E62</f>
        <v>-4.0318516278598654E-4</v>
      </c>
    </row>
    <row r="64" spans="1:5" x14ac:dyDescent="0.3">
      <c r="A64" s="10">
        <f>Data!A64</f>
        <v>46021</v>
      </c>
      <c r="B64" s="11">
        <f>(Data!B64-Data!B63)/Data!B63</f>
        <v>-1.4454866984468147E-3</v>
      </c>
      <c r="C64" s="11">
        <f>(Data!C64-Data!C63)/Data!C63</f>
        <v>-3.7525879917183974E-3</v>
      </c>
      <c r="D64" s="11">
        <f>(Data!D64-Data!D63)/Data!D63</f>
        <v>-1.404511461056736E-2</v>
      </c>
      <c r="E64" s="11">
        <f>(Data!E64-Data!E63)/Data!E63</f>
        <v>-8.0669557325811054E-4</v>
      </c>
    </row>
    <row r="65" spans="1:5" x14ac:dyDescent="0.3">
      <c r="A65" s="12">
        <f>Data!A65</f>
        <v>46022</v>
      </c>
      <c r="B65" s="13">
        <f>(Data!B65-Data!B64)/Data!B64</f>
        <v>-1.2504619933473069E-2</v>
      </c>
      <c r="C65" s="13">
        <f>(Data!C65-Data!C64)/Data!C64</f>
        <v>1.987271074165485E-2</v>
      </c>
      <c r="D65" s="13">
        <f>(Data!D65-Data!D64)/Data!D64</f>
        <v>-3.8233843117907117E-3</v>
      </c>
      <c r="E65" s="13">
        <f>(Data!E65-Data!E64)/Data!E64</f>
        <v>3.0275507114751056E-4</v>
      </c>
    </row>
    <row r="66" spans="1:5" x14ac:dyDescent="0.3">
      <c r="A66" s="10">
        <f>Data!A66</f>
        <v>46023</v>
      </c>
      <c r="B66" s="11">
        <f>(Data!B66-Data!B65)/Data!B65</f>
        <v>6.6121888840372633E-3</v>
      </c>
      <c r="C66" s="11">
        <f>(Data!C66-Data!C65)/Data!C65</f>
        <v>3.3112582781455791E-3</v>
      </c>
      <c r="D66" s="11">
        <f>(Data!D66-Data!D65)/Data!D65</f>
        <v>8.9142008171349905E-3</v>
      </c>
      <c r="E66" s="11">
        <f>(Data!E66-Data!E65)/Data!E65</f>
        <v>-5.0443906376178584E-5</v>
      </c>
    </row>
    <row r="67" spans="1:5" x14ac:dyDescent="0.3">
      <c r="A67" s="12">
        <f>Data!A67</f>
        <v>46024</v>
      </c>
      <c r="B67" s="13">
        <f>(Data!B67-Data!B66)/Data!B66</f>
        <v>7.2194335998016128E-3</v>
      </c>
      <c r="C67" s="13">
        <f>(Data!C67-Data!C66)/Data!C66</f>
        <v>1.0599136836760628E-2</v>
      </c>
      <c r="D67" s="13">
        <f>(Data!D67-Data!D66)/Data!D66</f>
        <v>6.5038655049700191E-3</v>
      </c>
      <c r="E67" s="13">
        <f>(Data!E67-Data!E66)/Data!E66</f>
        <v>1.0543308278262671E-2</v>
      </c>
    </row>
    <row r="68" spans="1:5" x14ac:dyDescent="0.3">
      <c r="A68" s="10">
        <f>Data!A68</f>
        <v>46027</v>
      </c>
      <c r="B68" s="11">
        <f>(Data!B68-Data!B67)/Data!B67</f>
        <v>-1.0643861322176734E-2</v>
      </c>
      <c r="C68" s="11">
        <f>(Data!C68-Data!C67)/Data!C67</f>
        <v>-8.9179174778622403E-3</v>
      </c>
      <c r="D68" s="11">
        <f>(Data!D68-Data!D67)/Data!D67</f>
        <v>-2.0726652036088759E-2</v>
      </c>
      <c r="E68" s="11">
        <f>(Data!E68-Data!E67)/Data!E67</f>
        <v>-2.4061501597444111E-2</v>
      </c>
    </row>
    <row r="69" spans="1:5" x14ac:dyDescent="0.3">
      <c r="A69" s="12">
        <f>Data!A69</f>
        <v>46028</v>
      </c>
      <c r="B69" s="13">
        <f>(Data!B69-Data!B68)/Data!B68</f>
        <v>1.2344143527875462E-2</v>
      </c>
      <c r="C69" s="13">
        <f>(Data!C69-Data!C68)/Data!C68</f>
        <v>-4.4673975033267858E-2</v>
      </c>
      <c r="D69" s="13">
        <f>(Data!D69-Data!D68)/Data!D68</f>
        <v>3.6105577689242744E-3</v>
      </c>
      <c r="E69" s="13">
        <f>(Data!E69-Data!E68)/Data!E68</f>
        <v>-1.5652173913043431E-2</v>
      </c>
    </row>
    <row r="70" spans="1:5" x14ac:dyDescent="0.3">
      <c r="A70" s="10">
        <f>Data!A70</f>
        <v>46029</v>
      </c>
      <c r="B70" s="11">
        <f>(Data!B70-Data!B69)/Data!B69</f>
        <v>1.2224338104306077E-2</v>
      </c>
      <c r="C70" s="11">
        <f>(Data!C70-Data!C69)/Data!C69</f>
        <v>-2.2552401167417512E-3</v>
      </c>
      <c r="D70" s="11">
        <f>(Data!D70-Data!D69)/Data!D69</f>
        <v>1.6623247736012873E-2</v>
      </c>
      <c r="E70" s="11">
        <f>(Data!E70-Data!E69)/Data!E69</f>
        <v>-1.3666597381001965E-2</v>
      </c>
    </row>
    <row r="71" spans="1:5" x14ac:dyDescent="0.3">
      <c r="A71" s="12">
        <f>Data!A71</f>
        <v>46030</v>
      </c>
      <c r="B71" s="13">
        <f>(Data!B71-Data!B70)/Data!B70</f>
        <v>-2.7824978759558146E-2</v>
      </c>
      <c r="C71" s="13">
        <f>(Data!C71-Data!C70)/Data!C70</f>
        <v>-2.2337455125648276E-2</v>
      </c>
      <c r="D71" s="13">
        <f>(Data!D71-Data!D70)/Data!D70</f>
        <v>-1.5680292861500942E-2</v>
      </c>
      <c r="E71" s="13">
        <f>(Data!E71-Data!E70)/Data!E70</f>
        <v>-2.4761603708971171E-3</v>
      </c>
    </row>
    <row r="72" spans="1:5" x14ac:dyDescent="0.3">
      <c r="A72" s="10">
        <f>Data!A72</f>
        <v>46031</v>
      </c>
      <c r="B72" s="11">
        <f>(Data!B72-Data!B71)/Data!B71</f>
        <v>1.2172664565061615E-3</v>
      </c>
      <c r="C72" s="11">
        <f>(Data!C72-Data!C71)/Data!C71</f>
        <v>3.1959744322045736E-3</v>
      </c>
      <c r="D72" s="11">
        <f>(Data!D72-Data!D71)/Data!D71</f>
        <v>4.9587801400852573E-4</v>
      </c>
      <c r="E72" s="11">
        <f>(Data!E72-Data!E71)/Data!E71</f>
        <v>-8.133516425478023E-3</v>
      </c>
    </row>
    <row r="73" spans="1:5" x14ac:dyDescent="0.3">
      <c r="A73" s="12">
        <f>Data!A73</f>
        <v>46034</v>
      </c>
      <c r="B73" s="13">
        <f>(Data!B73-Data!B72)/Data!B72</f>
        <v>9.9133362429078258E-3</v>
      </c>
      <c r="C73" s="13">
        <f>(Data!C73-Data!C72)/Data!C72</f>
        <v>5.35484308276289E-3</v>
      </c>
      <c r="D73" s="13">
        <f>(Data!D73-Data!D72)/Data!D72</f>
        <v>-1.1275633479957759E-2</v>
      </c>
      <c r="E73" s="13">
        <f>(Data!E73-Data!E72)/Data!E72</f>
        <v>-2.183173588924339E-3</v>
      </c>
    </row>
    <row r="74" spans="1:5" x14ac:dyDescent="0.3">
      <c r="A74" s="10">
        <f>Data!A74</f>
        <v>46035</v>
      </c>
      <c r="B74" s="11">
        <f>(Data!B74-Data!B73)/Data!B73</f>
        <v>8.7665143844919413E-3</v>
      </c>
      <c r="C74" s="11">
        <f>(Data!C74-Data!C73)/Data!C73</f>
        <v>-2.0496224379719586E-2</v>
      </c>
      <c r="D74" s="11">
        <f>(Data!D74-Data!D73)/Data!D73</f>
        <v>1.9424775988469885E-3</v>
      </c>
      <c r="E74" s="11">
        <f>(Data!E74-Data!E73)/Data!E73</f>
        <v>4.2691712471314077E-4</v>
      </c>
    </row>
    <row r="75" spans="1:5" x14ac:dyDescent="0.3">
      <c r="A75" s="12">
        <f>Data!A75</f>
        <v>46036</v>
      </c>
      <c r="B75" s="13">
        <f>(Data!B75-Data!B74)/Data!B74</f>
        <v>-2.3102815177478579E-2</v>
      </c>
      <c r="C75" s="13">
        <f>(Data!C75-Data!C74)/Data!C74</f>
        <v>4.1299559471365639E-3</v>
      </c>
      <c r="D75" s="13">
        <f>(Data!D75-Data!D74)/Data!D74</f>
        <v>5.0031269543461825E-4</v>
      </c>
      <c r="E75" s="13">
        <f>(Data!E75-Data!E74)/Data!E74</f>
        <v>-1.2695364591667976E-2</v>
      </c>
    </row>
    <row r="76" spans="1:5" x14ac:dyDescent="0.3">
      <c r="A76" s="10">
        <f>Data!A76</f>
        <v>46038</v>
      </c>
      <c r="B76" s="11">
        <f>(Data!B76-Data!B75)/Data!B75</f>
        <v>4.4479248238057378E-3</v>
      </c>
      <c r="C76" s="11">
        <f>(Data!C76-Data!C75)/Data!C75</f>
        <v>-6.1694543460369042E-4</v>
      </c>
      <c r="D76" s="11">
        <f>(Data!D76-Data!D75)/Data!D75</f>
        <v>5.625703212901613E-2</v>
      </c>
      <c r="E76" s="11">
        <f>(Data!E76-Data!E75)/Data!E75</f>
        <v>6.1051380409530252E-3</v>
      </c>
    </row>
    <row r="77" spans="1:5" x14ac:dyDescent="0.3">
      <c r="A77" s="12">
        <f>Data!A77</f>
        <v>46041</v>
      </c>
      <c r="B77" s="13">
        <f>(Data!B77-Data!B76)/Data!B76</f>
        <v>-1.3440608725480996E-2</v>
      </c>
      <c r="C77" s="13">
        <f>(Data!C77-Data!C76)/Data!C76</f>
        <v>-3.0386171891076327E-2</v>
      </c>
      <c r="D77" s="13">
        <f>(Data!D77-Data!D76)/Data!D76</f>
        <v>-5.0893596875369327E-3</v>
      </c>
      <c r="E77" s="13">
        <f>(Data!E77-Data!E76)/Data!E76</f>
        <v>-3.4367951884867851E-3</v>
      </c>
    </row>
    <row r="78" spans="1:5" x14ac:dyDescent="0.3">
      <c r="A78" s="10">
        <f>Data!A78</f>
        <v>46042</v>
      </c>
      <c r="B78" s="11">
        <f>(Data!B78-Data!B77)/Data!B77</f>
        <v>-1.937665950183327E-2</v>
      </c>
      <c r="C78" s="11">
        <f>(Data!C78-Data!C77)/Data!C77</f>
        <v>-1.3865308432371187E-2</v>
      </c>
      <c r="D78" s="11">
        <f>(Data!D78-Data!D77)/Data!D77</f>
        <v>-1.3264334998810346E-2</v>
      </c>
      <c r="E78" s="11">
        <f>(Data!E78-Data!E77)/Data!E77</f>
        <v>3.5564177174265206E-3</v>
      </c>
    </row>
    <row r="79" spans="1:5" x14ac:dyDescent="0.3">
      <c r="A79" s="12">
        <f>Data!A79</f>
        <v>46043</v>
      </c>
      <c r="B79" s="13">
        <f>(Data!B79-Data!B78)/Data!B78</f>
        <v>6.5435322180316946E-3</v>
      </c>
      <c r="C79" s="13">
        <f>(Data!C79-Data!C78)/Data!C78</f>
        <v>7.6040172166426893E-3</v>
      </c>
      <c r="D79" s="13">
        <f>(Data!D79-Data!D78)/Data!D78</f>
        <v>-2.7126409066248716E-3</v>
      </c>
      <c r="E79" s="13">
        <f>(Data!E79-Data!E78)/Data!E78</f>
        <v>-1.1651632302405523E-2</v>
      </c>
    </row>
    <row r="80" spans="1:5" x14ac:dyDescent="0.3">
      <c r="A80" s="10">
        <f>Data!A80</f>
        <v>46044</v>
      </c>
      <c r="B80" s="11">
        <f>(Data!B80-Data!B79)/Data!B79</f>
        <v>8.9028373791072129E-3</v>
      </c>
      <c r="C80" s="11">
        <f>(Data!C80-Data!C79)/Data!C79</f>
        <v>-1.4950875694147154E-3</v>
      </c>
      <c r="D80" s="11">
        <f>(Data!D80-Data!D79)/Data!D79</f>
        <v>5.5004835589941422E-3</v>
      </c>
      <c r="E80" s="11">
        <f>(Data!E80-Data!E79)/Data!E79</f>
        <v>-1.7927962188297683E-3</v>
      </c>
    </row>
    <row r="81" spans="1:5" x14ac:dyDescent="0.3">
      <c r="A81" s="12">
        <f>Data!A81</f>
        <v>46045</v>
      </c>
      <c r="B81" s="13">
        <f>(Data!B81-Data!B80)/Data!B80</f>
        <v>3.8407821229049992E-3</v>
      </c>
      <c r="C81" s="13">
        <f>(Data!C81-Data!C80)/Data!C80</f>
        <v>-1.169340463458117E-2</v>
      </c>
      <c r="D81" s="13">
        <f>(Data!D81-Data!D80)/Data!D80</f>
        <v>4.3883378418995821E-3</v>
      </c>
      <c r="E81" s="13">
        <f>(Data!E81-Data!E80)/Data!E80</f>
        <v>-2.8300859910743688E-3</v>
      </c>
    </row>
    <row r="82" spans="1:5" x14ac:dyDescent="0.3">
      <c r="A82" s="10">
        <f>Data!A82</f>
        <v>46049</v>
      </c>
      <c r="B82" s="11">
        <f>(Data!B82-Data!B81)/Data!B81</f>
        <v>-1.4229249011857706E-3</v>
      </c>
      <c r="C82" s="11">
        <f>(Data!C82-Data!C81)/Data!C81</f>
        <v>-4.0401125459922872E-3</v>
      </c>
      <c r="D82" s="11">
        <f>(Data!D82-Data!D81)/Data!D81</f>
        <v>7.1223366052191118E-3</v>
      </c>
      <c r="E82" s="11">
        <f>(Data!E82-Data!E81)/Data!E81</f>
        <v>1.1243314048684592E-2</v>
      </c>
    </row>
    <row r="83" spans="1:5" x14ac:dyDescent="0.3">
      <c r="A83" s="12">
        <f>Data!A83</f>
        <v>46050</v>
      </c>
      <c r="B83" s="13">
        <f>(Data!B83-Data!B82)/Data!B82</f>
        <v>1.3331222292590218E-2</v>
      </c>
      <c r="C83" s="13">
        <f>(Data!C83-Data!C82)/Data!C82</f>
        <v>1.1734878667149616E-2</v>
      </c>
      <c r="D83" s="13">
        <f>(Data!D83-Data!D82)/Data!D82</f>
        <v>-9.6273845605277502E-3</v>
      </c>
      <c r="E83" s="13">
        <f>(Data!E83-Data!E82)/Data!E82</f>
        <v>6.8005181347150995E-3</v>
      </c>
    </row>
    <row r="84" spans="1:5" x14ac:dyDescent="0.3">
      <c r="A84" s="10">
        <f>Data!A84</f>
        <v>46051</v>
      </c>
      <c r="B84" s="11">
        <f>(Data!B84-Data!B83)/Data!B83</f>
        <v>-1.7405706071685203E-2</v>
      </c>
      <c r="C84" s="11">
        <f>(Data!C84-Data!C83)/Data!C83</f>
        <v>-4.0810481850075504E-3</v>
      </c>
      <c r="D84" s="11">
        <f>(Data!D84-Data!D83)/Data!D83</f>
        <v>-4.2004200420042003E-3</v>
      </c>
      <c r="E84" s="11">
        <f>(Data!E84-Data!E83)/Data!E83</f>
        <v>3.0020370966012161E-3</v>
      </c>
    </row>
    <row r="85" spans="1:5" x14ac:dyDescent="0.3">
      <c r="A85" s="12">
        <f>Data!A85</f>
        <v>46052</v>
      </c>
      <c r="B85" s="13">
        <f>(Data!B85-Data!B84)/Data!B84</f>
        <v>-6.5195267777636429E-3</v>
      </c>
      <c r="C85" s="13">
        <f>(Data!C85-Data!C84)/Data!C84</f>
        <v>3.1631919482387424E-3</v>
      </c>
      <c r="D85" s="13">
        <f>(Data!D85-Data!D84)/Data!D84</f>
        <v>-1.1147936125338957E-2</v>
      </c>
      <c r="E85" s="13">
        <f>(Data!E85-Data!E84)/Data!E84</f>
        <v>-6.6809192944949228E-3</v>
      </c>
    </row>
    <row r="86" spans="1:5" x14ac:dyDescent="0.3">
      <c r="A86" s="10">
        <f>Data!A86</f>
        <v>46054</v>
      </c>
      <c r="B86" s="11">
        <f>(Data!B86-Data!B85)/Data!B85</f>
        <v>2.0167098818784212E-2</v>
      </c>
      <c r="C86" s="11">
        <f>(Data!C86-Data!C85)/Data!C85</f>
        <v>-3.4685394868854871E-2</v>
      </c>
      <c r="D86" s="11">
        <f>(Data!D86-Data!D85)/Data!D85</f>
        <v>8.2266910420475316E-3</v>
      </c>
      <c r="E86" s="11">
        <f>(Data!E86-Data!E85)/Data!E85</f>
        <v>-7.6943771859025855E-3</v>
      </c>
    </row>
    <row r="87" spans="1:5" x14ac:dyDescent="0.3">
      <c r="A87" s="12">
        <f>Data!A87</f>
        <v>46055</v>
      </c>
      <c r="B87" s="13">
        <f>(Data!B87-Data!B86)/Data!B86</f>
        <v>-5.428472810568321E-3</v>
      </c>
      <c r="C87" s="13">
        <f>(Data!C87-Data!C86)/Data!C86</f>
        <v>3.2219747587230951E-2</v>
      </c>
      <c r="D87" s="13">
        <f>(Data!D87-Data!D86)/Data!D86</f>
        <v>-1.5170746449078216E-2</v>
      </c>
      <c r="E87" s="13">
        <f>(Data!E87-Data!E86)/Data!E86</f>
        <v>6.5068864548313635E-3</v>
      </c>
    </row>
    <row r="88" spans="1:5" x14ac:dyDescent="0.3">
      <c r="A88" s="10">
        <f>Data!A88</f>
        <v>46056</v>
      </c>
      <c r="B88" s="11">
        <f>(Data!B88-Data!B87)/Data!B87</f>
        <v>1.7573195355880956E-2</v>
      </c>
      <c r="C88" s="11">
        <f>(Data!C88-Data!C87)/Data!C87</f>
        <v>3.3587456846950386E-2</v>
      </c>
      <c r="D88" s="11">
        <f>(Data!D88-Data!D87)/Data!D87</f>
        <v>1.6325027617527868E-2</v>
      </c>
      <c r="E88" s="11">
        <f>(Data!E88-Data!E87)/Data!E87</f>
        <v>2.2195884064217242E-2</v>
      </c>
    </row>
    <row r="89" spans="1:5" x14ac:dyDescent="0.3">
      <c r="A89" s="12">
        <f>Data!A89</f>
        <v>46057</v>
      </c>
      <c r="B89" s="13">
        <f>(Data!B89-Data!B88)/Data!B88</f>
        <v>-7.0133010882708666E-2</v>
      </c>
      <c r="C89" s="13">
        <f>(Data!C89-Data!C88)/Data!C88</f>
        <v>1.3708162271240725E-2</v>
      </c>
      <c r="D89" s="13">
        <f>(Data!D89-Data!D88)/Data!D88</f>
        <v>-7.258454106280196E-2</v>
      </c>
      <c r="E89" s="13">
        <f>(Data!E89-Data!E88)/Data!E88</f>
        <v>4.6379255823758587E-3</v>
      </c>
    </row>
    <row r="90" spans="1:5" x14ac:dyDescent="0.3">
      <c r="A90" s="10">
        <f>Data!A90</f>
        <v>46058</v>
      </c>
      <c r="B90" s="11">
        <f>(Data!B90-Data!B89)/Data!B89</f>
        <v>-2.5340935614017236E-3</v>
      </c>
      <c r="C90" s="11">
        <f>(Data!C90-Data!C89)/Data!C89</f>
        <v>-9.1982427237780502E-3</v>
      </c>
      <c r="D90" s="11">
        <f>(Data!D90-Data!D89)/Data!D89</f>
        <v>-1.0157572600598977E-2</v>
      </c>
      <c r="E90" s="11">
        <f>(Data!E90-Data!E89)/Data!E89</f>
        <v>-3.5673066834539685E-3</v>
      </c>
    </row>
    <row r="91" spans="1:5" x14ac:dyDescent="0.3">
      <c r="A91" s="12">
        <f>Data!A91</f>
        <v>46059</v>
      </c>
      <c r="B91" s="13">
        <f>(Data!B91-Data!B90)/Data!B90</f>
        <v>-1.6680595019221155E-2</v>
      </c>
      <c r="C91" s="13">
        <f>(Data!C91-Data!C90)/Data!C90</f>
        <v>5.1267839822640038E-3</v>
      </c>
      <c r="D91" s="13">
        <f>(Data!D91-Data!D90)/Data!D90</f>
        <v>-8.6172871990528449E-3</v>
      </c>
      <c r="E91" s="13">
        <f>(Data!E91-Data!E90)/Data!E90</f>
        <v>-9.0554912077498387E-3</v>
      </c>
    </row>
    <row r="92" spans="1:5" x14ac:dyDescent="0.3">
      <c r="A92" s="10">
        <f>Data!A92</f>
        <v>46062</v>
      </c>
      <c r="B92" s="11">
        <f>(Data!B92-Data!B91)/Data!B91</f>
        <v>2.2436769105248534E-3</v>
      </c>
      <c r="C92" s="11">
        <f>(Data!C92-Data!C91)/Data!C91</f>
        <v>7.4441687344912839E-3</v>
      </c>
      <c r="D92" s="11">
        <f>(Data!D92-Data!D91)/Data!D91</f>
        <v>-6.5689071727157216E-3</v>
      </c>
      <c r="E92" s="11">
        <f>(Data!E92-Data!E91)/Data!E91</f>
        <v>-4.0909573902879852E-3</v>
      </c>
    </row>
    <row r="93" spans="1:5" x14ac:dyDescent="0.3">
      <c r="A93" s="12">
        <f>Data!A93</f>
        <v>46063</v>
      </c>
      <c r="B93" s="13">
        <f>(Data!B93-Data!B92)/Data!B92</f>
        <v>1.2346516518553726E-2</v>
      </c>
      <c r="C93" s="13">
        <f>(Data!C93-Data!C92)/Data!C92</f>
        <v>-2.1209633278598174E-3</v>
      </c>
      <c r="D93" s="13">
        <f>(Data!D93-Data!D92)/Data!D92</f>
        <v>4.0074806305096785E-4</v>
      </c>
      <c r="E93" s="13">
        <f>(Data!E93-Data!E92)/Data!E92</f>
        <v>-5.1747132568685222E-3</v>
      </c>
    </row>
    <row r="94" spans="1:5" x14ac:dyDescent="0.3">
      <c r="A94" s="10">
        <f>Data!A94</f>
        <v>46064</v>
      </c>
      <c r="B94" s="11">
        <f>(Data!B94-Data!B93)/Data!B93</f>
        <v>-2.5061984855591947E-2</v>
      </c>
      <c r="C94" s="11">
        <f>(Data!C94-Data!C93)/Data!C93</f>
        <v>6.9934864586904668E-3</v>
      </c>
      <c r="D94" s="11">
        <f>(Data!D94-Data!D93)/Data!D93</f>
        <v>-1.7292028308185249E-2</v>
      </c>
      <c r="E94" s="11">
        <f>(Data!E94-Data!E93)/Data!E93</f>
        <v>-5.6842556842556357E-3</v>
      </c>
    </row>
    <row r="95" spans="1:5" x14ac:dyDescent="0.3">
      <c r="A95" s="12">
        <f>Data!A95</f>
        <v>46065</v>
      </c>
      <c r="B95" s="13">
        <f>(Data!B95-Data!B94)/Data!B94</f>
        <v>-5.4883497147570369E-2</v>
      </c>
      <c r="C95" s="13">
        <f>(Data!C95-Data!C94)/Data!C94</f>
        <v>-1.3481310002042592E-2</v>
      </c>
      <c r="D95" s="13">
        <f>(Data!D95-Data!D94)/Data!D94</f>
        <v>-5.8359942930905691E-2</v>
      </c>
      <c r="E95" s="13">
        <f>(Data!E95-Data!E94)/Data!E94</f>
        <v>-7.0111099126307841E-3</v>
      </c>
    </row>
    <row r="96" spans="1:5" x14ac:dyDescent="0.3">
      <c r="A96" s="10">
        <f>Data!A96</f>
        <v>46066</v>
      </c>
      <c r="B96" s="11">
        <f>(Data!B96-Data!B95)/Data!B95</f>
        <v>-2.1053779862550488E-2</v>
      </c>
      <c r="C96" s="11">
        <f>(Data!C96-Data!C95)/Data!C95</f>
        <v>-2.0222237559528042E-2</v>
      </c>
      <c r="D96" s="11">
        <f>(Data!D96-Data!D95)/Data!D95</f>
        <v>-1.2193362193362259E-2</v>
      </c>
      <c r="E96" s="11">
        <f>(Data!E96-Data!E95)/Data!E95</f>
        <v>-1.8140343254399352E-2</v>
      </c>
    </row>
    <row r="97" spans="1:5" x14ac:dyDescent="0.3">
      <c r="A97" s="12">
        <f>Data!A97</f>
        <v>46069</v>
      </c>
      <c r="B97" s="13">
        <f>(Data!B97-Data!B96)/Data!B96</f>
        <v>5.3487853799866619E-3</v>
      </c>
      <c r="C97" s="13">
        <f>(Data!C97-Data!C96)/Data!C96</f>
        <v>1.232741617357002E-2</v>
      </c>
      <c r="D97" s="13">
        <f>(Data!D97-Data!D96)/Data!D96</f>
        <v>-2.5564239281279677E-3</v>
      </c>
      <c r="E97" s="13">
        <f>(Data!E97-Data!E96)/Data!E96</f>
        <v>2.422834384334548E-2</v>
      </c>
    </row>
    <row r="98" spans="1:5" x14ac:dyDescent="0.3">
      <c r="A98" s="10">
        <f>Data!A98</f>
        <v>46070</v>
      </c>
      <c r="B98" s="11">
        <f>(Data!B98-Data!B97)/Data!B97</f>
        <v>3.990246065174086E-3</v>
      </c>
      <c r="C98" s="11">
        <f>(Data!C98-Data!C97)/Data!C97</f>
        <v>-9.8114257880453064E-3</v>
      </c>
      <c r="D98" s="11">
        <f>(Data!D98-Data!D97)/Data!D97</f>
        <v>1.8746338605741167E-2</v>
      </c>
      <c r="E98" s="11">
        <f>(Data!E98-Data!E97)/Data!E97</f>
        <v>-1.0801468999774148E-4</v>
      </c>
    </row>
    <row r="99" spans="1:5" x14ac:dyDescent="0.3">
      <c r="A99" s="12">
        <f>Data!A99</f>
        <v>46071</v>
      </c>
      <c r="B99" s="13">
        <f>(Data!B99-Data!B98)/Data!B98</f>
        <v>-8.2799735040847873E-3</v>
      </c>
      <c r="C99" s="13">
        <f>(Data!C99-Data!C98)/Data!C98</f>
        <v>1.2860154602951479E-2</v>
      </c>
      <c r="D99" s="13">
        <f>(Data!D99-Data!D98)/Data!D98</f>
        <v>-1.257906843013226E-2</v>
      </c>
      <c r="E99" s="13">
        <f>(Data!E99-Data!E98)/Data!E98</f>
        <v>-1.0802635843145728E-3</v>
      </c>
    </row>
    <row r="100" spans="1:5" x14ac:dyDescent="0.3">
      <c r="A100" s="10">
        <f>Data!A100</f>
        <v>46072</v>
      </c>
      <c r="B100" s="11">
        <f>(Data!B100-Data!B99)/Data!B99</f>
        <v>-6.308211807488218E-3</v>
      </c>
      <c r="C100" s="11">
        <f>(Data!C100-Data!C99)/Data!C99</f>
        <v>-2.2063414972594154E-2</v>
      </c>
      <c r="D100" s="11">
        <f>(Data!D100-Data!D99)/Data!D99</f>
        <v>-2.329475140132522E-3</v>
      </c>
      <c r="E100" s="11">
        <f>(Data!E100-Data!E99)/Data!E99</f>
        <v>-9.8410295230885927E-3</v>
      </c>
    </row>
    <row r="101" spans="1:5" x14ac:dyDescent="0.3">
      <c r="A101" s="12">
        <f>Data!A101</f>
        <v>46073</v>
      </c>
      <c r="B101" s="13">
        <f>(Data!B101-Data!B100)/Data!B100</f>
        <v>3.0994435938607591E-3</v>
      </c>
      <c r="C101" s="13">
        <f>(Data!C101-Data!C100)/Data!C100</f>
        <v>7.0237672933665066E-3</v>
      </c>
      <c r="D101" s="13">
        <f>(Data!D101-Data!D100)/Data!D100</f>
        <v>-1.2623130244436304E-2</v>
      </c>
      <c r="E101" s="13">
        <f>(Data!E101-Data!E100)/Data!E100</f>
        <v>-4.0956749672346002E-3</v>
      </c>
    </row>
    <row r="102" spans="1:5" x14ac:dyDescent="0.3">
      <c r="A102" s="10">
        <f>Data!A102</f>
        <v>46076</v>
      </c>
      <c r="B102" s="11">
        <f>(Data!B102-Data!B101)/Data!B101</f>
        <v>-3.6855036855035503E-3</v>
      </c>
      <c r="C102" s="11">
        <f>(Data!C102-Data!C101)/Data!C101</f>
        <v>6.0588981259686548E-3</v>
      </c>
      <c r="D102" s="11">
        <f>(Data!D102-Data!D101)/Data!D101</f>
        <v>-1.8992018918120045E-2</v>
      </c>
      <c r="E102" s="11">
        <f>(Data!E102-Data!E101)/Data!E101</f>
        <v>1.2885891319844273E-2</v>
      </c>
    </row>
    <row r="103" spans="1:5" x14ac:dyDescent="0.3">
      <c r="A103" s="12">
        <f>Data!A103</f>
        <v>46077</v>
      </c>
      <c r="B103" s="13">
        <f>(Data!B103-Data!B102)/Data!B102</f>
        <v>-3.8336509359937362E-2</v>
      </c>
      <c r="C103" s="13">
        <f>(Data!C103-Data!C102)/Data!C102</f>
        <v>5.6022408963582254E-4</v>
      </c>
      <c r="D103" s="13">
        <f>(Data!D103-Data!D102)/Data!D102</f>
        <v>-3.9171374764595104E-2</v>
      </c>
      <c r="E103" s="13">
        <f>(Data!E103-Data!E102)/Data!E102</f>
        <v>-1.4183629276743203E-2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F13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24" customWidth="1"/>
    <col min="2" max="4" width="13" customWidth="1"/>
    <col min="5" max="5" width="14" customWidth="1"/>
    <col min="6" max="6" width="38" customWidth="1"/>
  </cols>
  <sheetData>
    <row r="1" spans="1:6" ht="27.75" customHeight="1" x14ac:dyDescent="0.3">
      <c r="A1" s="4" t="s">
        <v>12</v>
      </c>
      <c r="B1" s="4"/>
      <c r="C1" s="4"/>
      <c r="D1" s="4"/>
      <c r="E1" s="4"/>
      <c r="F1" s="4"/>
    </row>
    <row r="3" spans="1:6" x14ac:dyDescent="0.3">
      <c r="A3" s="14" t="s">
        <v>13</v>
      </c>
      <c r="B3" s="15">
        <v>0.06</v>
      </c>
      <c r="C3" s="16" t="s">
        <v>14</v>
      </c>
    </row>
    <row r="5" spans="1:6" ht="19.5" customHeight="1" x14ac:dyDescent="0.3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</row>
    <row r="6" spans="1:6" x14ac:dyDescent="0.3">
      <c r="A6" s="17" t="s">
        <v>21</v>
      </c>
      <c r="B6" s="18">
        <f>AVERAGE(Returns!B4:B103)</f>
        <v>-1.0426247025021337E-3</v>
      </c>
      <c r="C6" s="18">
        <f>AVERAGE(Returns!C4:C103)</f>
        <v>5.4350785769790612E-4</v>
      </c>
      <c r="D6" s="18">
        <f>AVERAGE(Returns!D4:D103)</f>
        <v>-1.0844740243527641E-3</v>
      </c>
      <c r="E6" s="18">
        <f>AVERAGE(Returns!E4:E103)</f>
        <v>-3.9989482330347116E-4</v>
      </c>
      <c r="F6" s="19" t="s">
        <v>22</v>
      </c>
    </row>
    <row r="7" spans="1:6" x14ac:dyDescent="0.3">
      <c r="A7" s="20" t="s">
        <v>23</v>
      </c>
      <c r="B7" s="21">
        <f>AVERAGE(Returns!B4:B103)*252</f>
        <v>-0.26274142503053771</v>
      </c>
      <c r="C7" s="21">
        <f>AVERAGE(Returns!C4:C103)*252</f>
        <v>0.13696398013987235</v>
      </c>
      <c r="D7" s="21">
        <f>AVERAGE(Returns!D4:D103)*252</f>
        <v>-0.27328745413689659</v>
      </c>
      <c r="E7" s="21">
        <f>AVERAGE(Returns!E4:E103)*252</f>
        <v>-0.10077349547247473</v>
      </c>
      <c r="F7" s="22" t="s">
        <v>24</v>
      </c>
    </row>
    <row r="8" spans="1:6" x14ac:dyDescent="0.3">
      <c r="A8" s="17" t="s">
        <v>25</v>
      </c>
      <c r="B8" s="18">
        <f>STDEV(Returns!B4:B103)</f>
        <v>1.480637778395788E-2</v>
      </c>
      <c r="C8" s="18">
        <f>STDEV(Returns!C4:C103)</f>
        <v>1.2638735293925131E-2</v>
      </c>
      <c r="D8" s="18">
        <f>STDEV(Returns!D4:D103)</f>
        <v>1.6769451074584465E-2</v>
      </c>
      <c r="E8" s="18">
        <f>STDEV(Returns!E4:E103)</f>
        <v>8.4369093172276064E-3</v>
      </c>
      <c r="F8" s="19" t="s">
        <v>26</v>
      </c>
    </row>
    <row r="9" spans="1:6" x14ac:dyDescent="0.3">
      <c r="A9" s="20" t="s">
        <v>27</v>
      </c>
      <c r="B9" s="21">
        <f>STDEV(Returns!B4:B103)*SQRT(252)</f>
        <v>0.23504396060414515</v>
      </c>
      <c r="C9" s="21">
        <f>STDEV(Returns!C4:C103)*SQRT(252)</f>
        <v>0.20063370284460438</v>
      </c>
      <c r="D9" s="21">
        <f>STDEV(Returns!D4:D103)*SQRT(252)</f>
        <v>0.26620678299849215</v>
      </c>
      <c r="E9" s="21">
        <f>STDEV(Returns!E4:E103)*SQRT(252)</f>
        <v>0.13393178332432801</v>
      </c>
      <c r="F9" s="22" t="s">
        <v>28</v>
      </c>
    </row>
    <row r="10" spans="1:6" x14ac:dyDescent="0.3">
      <c r="A10" s="17" t="s">
        <v>29</v>
      </c>
      <c r="B10" s="23">
        <f>(AVERAGE(Returns!B4:B103)*252-$B$3)/( STDEV(Returns!B4:B103)*SQRT(252))</f>
        <v>-1.373110903173089</v>
      </c>
      <c r="C10" s="23">
        <f>(AVERAGE(Returns!C4:C103)*252-$B$3)/( STDEV(Returns!C4:C103)*SQRT(252))</f>
        <v>0.3836044445607566</v>
      </c>
      <c r="D10" s="23">
        <f>(AVERAGE(Returns!D4:D103)*252-$B$3)/( STDEV(Returns!D4:D103)*SQRT(252))</f>
        <v>-1.2519870845619452</v>
      </c>
      <c r="E10" s="23">
        <f>(AVERAGE(Returns!E4:E103)*252-$B$3)/( STDEV(Returns!E4:E103)*SQRT(252))</f>
        <v>-1.200413311029743</v>
      </c>
      <c r="F10" s="19" t="s">
        <v>30</v>
      </c>
    </row>
    <row r="11" spans="1:6" x14ac:dyDescent="0.3">
      <c r="A11" s="20" t="s">
        <v>31</v>
      </c>
      <c r="B11" s="21">
        <f>MIN(Returns!B4:B103)</f>
        <v>-7.0133010882708666E-2</v>
      </c>
      <c r="C11" s="21">
        <f>MIN(Returns!C4:C103)</f>
        <v>-4.4673975033267858E-2</v>
      </c>
      <c r="D11" s="21">
        <f>MIN(Returns!D4:D103)</f>
        <v>-7.258454106280196E-2</v>
      </c>
      <c r="E11" s="21">
        <f>MIN(Returns!E4:E103)</f>
        <v>-2.4061501597444111E-2</v>
      </c>
      <c r="F11" s="22" t="s">
        <v>32</v>
      </c>
    </row>
    <row r="12" spans="1:6" x14ac:dyDescent="0.3">
      <c r="A12" s="17" t="s">
        <v>33</v>
      </c>
      <c r="B12" s="24">
        <f>MAX(Returns!B4:B103)</f>
        <v>2.9808056790378717E-2</v>
      </c>
      <c r="C12" s="24">
        <f>MAX(Returns!C4:C103)</f>
        <v>3.5290796160361376E-2</v>
      </c>
      <c r="D12" s="24">
        <f>MAX(Returns!D4:D103)</f>
        <v>5.625703212901613E-2</v>
      </c>
      <c r="E12" s="24">
        <f>MAX(Returns!E4:E103)</f>
        <v>2.422834384334548E-2</v>
      </c>
      <c r="F12" s="19" t="s">
        <v>34</v>
      </c>
    </row>
    <row r="13" spans="1:6" x14ac:dyDescent="0.3">
      <c r="A13" s="20" t="s">
        <v>35</v>
      </c>
      <c r="B13" s="25">
        <f>COUNTIF(Returns!B4:B103,"&gt;0")/100</f>
        <v>0.5</v>
      </c>
      <c r="C13" s="25">
        <f>COUNTIF(Returns!C4:C103,"&gt;0")/100</f>
        <v>0.52</v>
      </c>
      <c r="D13" s="25">
        <f>COUNTIF(Returns!D4:D103,"&gt;0")/100</f>
        <v>0.47</v>
      </c>
      <c r="E13" s="25">
        <f>COUNTIF(Returns!E4:E103,"&gt;0")/100</f>
        <v>0.45</v>
      </c>
      <c r="F13" s="22" t="s">
        <v>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7A4A"/>
  </sheetPr>
  <dimension ref="A1:E17"/>
  <sheetViews>
    <sheetView showGridLines="0" tabSelected="1" zoomScaleNormal="100" workbookViewId="0">
      <selection activeCell="C25" sqref="C25"/>
    </sheetView>
  </sheetViews>
  <sheetFormatPr defaultColWidth="8.6640625" defaultRowHeight="14.4" x14ac:dyDescent="0.3"/>
  <cols>
    <col min="1" max="1" width="30" customWidth="1"/>
    <col min="2" max="2" width="14" customWidth="1"/>
    <col min="3" max="3" width="20" customWidth="1"/>
    <col min="4" max="4" width="16" customWidth="1"/>
    <col min="5" max="5" width="20" customWidth="1"/>
  </cols>
  <sheetData>
    <row r="1" spans="1:5" ht="27.75" customHeight="1" x14ac:dyDescent="0.3">
      <c r="A1" s="4" t="s">
        <v>37</v>
      </c>
      <c r="B1" s="4"/>
      <c r="C1" s="4"/>
      <c r="D1" s="4"/>
      <c r="E1" s="4"/>
    </row>
    <row r="3" spans="1:5" ht="19.5" customHeight="1" x14ac:dyDescent="0.3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</row>
    <row r="4" spans="1:5" x14ac:dyDescent="0.3">
      <c r="A4" s="26" t="s">
        <v>16</v>
      </c>
      <c r="B4" s="27">
        <v>0.25</v>
      </c>
      <c r="C4" s="28">
        <f>Metrics!B7</f>
        <v>-0.26274142503053771</v>
      </c>
      <c r="D4" s="28">
        <f>Metrics!B9</f>
        <v>0.23504396060414515</v>
      </c>
      <c r="E4" s="29">
        <f>B4*C4</f>
        <v>-6.5685356257634428E-2</v>
      </c>
    </row>
    <row r="5" spans="1:5" x14ac:dyDescent="0.3">
      <c r="A5" s="20" t="s">
        <v>17</v>
      </c>
      <c r="B5" s="27">
        <v>0.25</v>
      </c>
      <c r="C5" s="30">
        <f>Metrics!C7</f>
        <v>0.13696398013987235</v>
      </c>
      <c r="D5" s="30">
        <f>Metrics!C9</f>
        <v>0.20063370284460438</v>
      </c>
      <c r="E5" s="21">
        <f>B5*C5</f>
        <v>3.4240995034968087E-2</v>
      </c>
    </row>
    <row r="6" spans="1:5" x14ac:dyDescent="0.3">
      <c r="A6" s="26" t="s">
        <v>18</v>
      </c>
      <c r="B6" s="27">
        <v>0.25</v>
      </c>
      <c r="C6" s="28">
        <f>Metrics!D7</f>
        <v>-0.27328745413689659</v>
      </c>
      <c r="D6" s="28">
        <f>Metrics!D9</f>
        <v>0.26620678299849215</v>
      </c>
      <c r="E6" s="29">
        <f>B6*C6</f>
        <v>-6.8321863534224148E-2</v>
      </c>
    </row>
    <row r="7" spans="1:5" x14ac:dyDescent="0.3">
      <c r="A7" s="20" t="s">
        <v>19</v>
      </c>
      <c r="B7" s="27">
        <v>0.25</v>
      </c>
      <c r="C7" s="30">
        <f>Metrics!E7</f>
        <v>-0.10077349547247473</v>
      </c>
      <c r="D7" s="30">
        <f>Metrics!E9</f>
        <v>0.13393178332432801</v>
      </c>
      <c r="E7" s="21">
        <f>B7*C7</f>
        <v>-2.5193373868118683E-2</v>
      </c>
    </row>
    <row r="8" spans="1:5" x14ac:dyDescent="0.3">
      <c r="A8" s="31" t="s">
        <v>43</v>
      </c>
      <c r="B8" s="32">
        <f>SUM(B4:B7)</f>
        <v>1</v>
      </c>
      <c r="C8" s="33"/>
      <c r="D8" s="33"/>
      <c r="E8" s="34">
        <f>SUM(E4:E7)</f>
        <v>-0.12495959862500916</v>
      </c>
    </row>
    <row r="10" spans="1:5" ht="21.75" customHeight="1" x14ac:dyDescent="0.3">
      <c r="A10" s="3" t="s">
        <v>44</v>
      </c>
      <c r="B10" s="3"/>
      <c r="C10" s="3"/>
      <c r="D10" s="3"/>
      <c r="E10" s="3"/>
    </row>
    <row r="11" spans="1:5" x14ac:dyDescent="0.3">
      <c r="A11" s="17" t="s">
        <v>45</v>
      </c>
      <c r="B11" s="35">
        <f>SUMPRODUCT(B4:B7,C4:C7)</f>
        <v>-0.12495959862500916</v>
      </c>
      <c r="C11" s="2" t="s">
        <v>46</v>
      </c>
      <c r="D11" s="2"/>
      <c r="E11" s="2"/>
    </row>
    <row r="12" spans="1:5" x14ac:dyDescent="0.3">
      <c r="A12" s="20" t="s">
        <v>47</v>
      </c>
      <c r="B12" s="36">
        <f>SQRT(SUMPRODUCT(B4:B7*B4:B7,D4:D7*D4:D7))</f>
        <v>0.10732640635942681</v>
      </c>
      <c r="C12" s="1" t="s">
        <v>48</v>
      </c>
      <c r="D12" s="1"/>
      <c r="E12" s="1"/>
    </row>
    <row r="13" spans="1:5" x14ac:dyDescent="0.3">
      <c r="A13" s="17" t="s">
        <v>49</v>
      </c>
      <c r="B13" s="37">
        <f>IF(B12=0,"N/A",(B11-Metrics!$B$3)/B12)</f>
        <v>-1.7233372932062547</v>
      </c>
      <c r="C13" s="2" t="s">
        <v>50</v>
      </c>
      <c r="D13" s="2"/>
      <c r="E13" s="2"/>
    </row>
    <row r="14" spans="1:5" x14ac:dyDescent="0.3">
      <c r="A14" s="20" t="s">
        <v>51</v>
      </c>
      <c r="B14" s="38">
        <f>Metrics!$B$3</f>
        <v>0.06</v>
      </c>
      <c r="C14" s="1" t="s">
        <v>52</v>
      </c>
      <c r="D14" s="1"/>
      <c r="E14" s="1"/>
    </row>
    <row r="15" spans="1:5" x14ac:dyDescent="0.3">
      <c r="A15" s="17" t="s">
        <v>53</v>
      </c>
      <c r="B15" s="35">
        <f>B11-B14</f>
        <v>-0.18495959862500916</v>
      </c>
      <c r="C15" s="2" t="s">
        <v>54</v>
      </c>
      <c r="D15" s="2"/>
      <c r="E15" s="2"/>
    </row>
    <row r="16" spans="1:5" x14ac:dyDescent="0.3">
      <c r="A16" s="20" t="s">
        <v>55</v>
      </c>
      <c r="B16" s="39">
        <f>COUNTA(A4:A7)</f>
        <v>4</v>
      </c>
      <c r="C16" s="1" t="s">
        <v>56</v>
      </c>
      <c r="D16" s="1"/>
      <c r="E16" s="1"/>
    </row>
    <row r="17" spans="1:5" x14ac:dyDescent="0.3">
      <c r="A17" s="17" t="s">
        <v>57</v>
      </c>
      <c r="B17" s="40">
        <f>B8</f>
        <v>1</v>
      </c>
      <c r="C17" s="2" t="s">
        <v>58</v>
      </c>
      <c r="D17" s="2"/>
      <c r="E17" s="2"/>
    </row>
  </sheetData>
  <mergeCells count="9">
    <mergeCell ref="C14:E14"/>
    <mergeCell ref="C15:E15"/>
    <mergeCell ref="C16:E16"/>
    <mergeCell ref="C17:E17"/>
    <mergeCell ref="A1:E1"/>
    <mergeCell ref="A10:E10"/>
    <mergeCell ref="C11:E11"/>
    <mergeCell ref="C12:E12"/>
    <mergeCell ref="C13:E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Returns</vt:lpstr>
      <vt:lpstr>Metrics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Dakshina moorthy Chidambaram</cp:lastModifiedBy>
  <cp:revision>1</cp:revision>
  <dcterms:created xsi:type="dcterms:W3CDTF">2026-03-30T08:17:49Z</dcterms:created>
  <dcterms:modified xsi:type="dcterms:W3CDTF">2026-03-30T08:39:08Z</dcterms:modified>
  <dc:language>en-US</dc:language>
</cp:coreProperties>
</file>